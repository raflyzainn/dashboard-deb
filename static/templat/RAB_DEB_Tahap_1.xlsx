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RAB Tahap 1" state="visible" r:id="rId5"/>
    <sheet sheetId="3" name="RAB Tahap 2" state="visible" r:id="rId6"/>
  </sheets>
  <calcPr calcId="171027"/>
</workbook>
</file>

<file path=xl/sharedStrings.xml><?xml version="1.0" encoding="utf-8"?>
<sst xmlns="http://schemas.openxmlformats.org/spreadsheetml/2006/main" count="129" uniqueCount="101">
  <si>
    <t>RAB · Program Desa Energi Berdikari Sobat Bumi</t>
  </si>
  <si>
    <t>Tahap 1 paling banyak 70% dari Nilai SK, tepat, tanpa pembulatan. Tahap 1 dan Tahap 2 bersama sama sama dengan Nilai SK.</t>
  </si>
  <si>
    <t>Cara mengisi</t>
  </si>
  <si>
    <t>1. Isi lembar RAB Tahap 1 (dan RAB Tahap 2 bila sudah ada). Satu baris untuk satu barang atau jasa.</t>
  </si>
  <si>
    <t>2. Kolom No menentukan tingkat: A = kelompok, A.1 = kegiatan, A.1.a = sub kegiatan, A.1.a.1 = barang. Sub kegiatan boleh dilewati, lihat kelompok B pada contoh.</t>
  </si>
  <si>
    <t>3. Baris judul (kelompok, kegiatan, sub kegiatan) cukup diisi No dan Uraian. Baris barang diisi Satuan, Volume, dan Jumlah.</t>
  </si>
  <si>
    <t>4. Jumlah adalah nilai baris dalam rupiah, angka saja tanpa Rp dan tanpa titik. Harga satuan dihitung aplikasi.</t>
  </si>
  <si>
    <t>5. Jangan menambah baris total di lembar RAB. Ringkasan di bawah menghitungnya sendiri, termasuk gabungan Tahap 1 dan Tahap 2.</t>
  </si>
  <si>
    <t>6. Ganti baris contoh dengan RAB kampus, simpan dengan nama RAB_&lt;kode kampus&gt;_Tahap1_v1.xlsx, lalu unggah di aplikasi pada butir RAB.</t>
  </si>
  <si>
    <t>Ringkasan</t>
  </si>
  <si>
    <t>Nilai SK (Rp)</t>
  </si>
  <si>
    <t>isi dari SK penetapan</t>
  </si>
  <si>
    <t>Batas Tahap 1 (70%)</t>
  </si>
  <si>
    <t>Total RAB Tahap 1</t>
  </si>
  <si>
    <t>dari lembar RAB Tahap 1</t>
  </si>
  <si>
    <t>Total RAB Tahap 2</t>
  </si>
  <si>
    <t>dari lembar RAB Tahap 2</t>
  </si>
  <si>
    <t>Total RAB (Tahap 1 + Tahap 2)</t>
  </si>
  <si>
    <t>Sisa batas Tahap 1</t>
  </si>
  <si>
    <t>Selisih RAB terhadap Nilai SK</t>
  </si>
  <si>
    <t>Keterangan Tahap 1</t>
  </si>
  <si>
    <t>Keterangan RAB gabungan</t>
  </si>
  <si>
    <t>Per kelompok</t>
  </si>
  <si>
    <t>Kode</t>
  </si>
  <si>
    <t>Nama</t>
  </si>
  <si>
    <t>Tahap 1</t>
  </si>
  <si>
    <t>Tahap 2</t>
  </si>
  <si>
    <t>Total</t>
  </si>
  <si>
    <t>A</t>
  </si>
  <si>
    <t>B</t>
  </si>
  <si>
    <t>C</t>
  </si>
  <si>
    <t>D</t>
  </si>
  <si>
    <t>E</t>
  </si>
  <si>
    <t>Jumlah</t>
  </si>
  <si>
    <t>Per kegiatan</t>
  </si>
  <si>
    <t>A.1</t>
  </si>
  <si>
    <t>A.2</t>
  </si>
  <si>
    <t>A.3</t>
  </si>
  <si>
    <t>A.4</t>
  </si>
  <si>
    <t>A.5</t>
  </si>
  <si>
    <t>A.6</t>
  </si>
  <si>
    <t>B.1</t>
  </si>
  <si>
    <t>B.2</t>
  </si>
  <si>
    <t>B.3</t>
  </si>
  <si>
    <t>B.4</t>
  </si>
  <si>
    <t>B.5</t>
  </si>
  <si>
    <t>B.6</t>
  </si>
  <si>
    <t>C.1</t>
  </si>
  <si>
    <t>C.2</t>
  </si>
  <si>
    <t>C.3</t>
  </si>
  <si>
    <t>C.4</t>
  </si>
  <si>
    <t>D.1</t>
  </si>
  <si>
    <t>D.2</t>
  </si>
  <si>
    <t>D.3</t>
  </si>
  <si>
    <t>D.4</t>
  </si>
  <si>
    <t>E.1</t>
  </si>
  <si>
    <t>E.2</t>
  </si>
  <si>
    <t>E.3</t>
  </si>
  <si>
    <t>E.4</t>
  </si>
  <si>
    <t>No</t>
  </si>
  <si>
    <t>Uraian</t>
  </si>
  <si>
    <t>Satuan</t>
  </si>
  <si>
    <t>Volume</t>
  </si>
  <si>
    <t>Bantuan Program</t>
  </si>
  <si>
    <t>Kegiatan Pemberdayaan Masyarakat</t>
  </si>
  <si>
    <t>A.1.a</t>
  </si>
  <si>
    <t>BioTani</t>
  </si>
  <si>
    <t>A.1.a.1</t>
  </si>
  <si>
    <t>Sarung Tangan Karet</t>
  </si>
  <si>
    <t>PU</t>
  </si>
  <si>
    <t>A.1.a.2</t>
  </si>
  <si>
    <t>Tepung Tulang Ikan</t>
  </si>
  <si>
    <t>A.1.b</t>
  </si>
  <si>
    <t>BioKreasi</t>
  </si>
  <si>
    <t>A.1.b.1</t>
  </si>
  <si>
    <t>Tempat Studio Branding (Wadah + LED)</t>
  </si>
  <si>
    <t>A.1.b.2</t>
  </si>
  <si>
    <t>Alas foto lipat uk 30 x 45cm</t>
  </si>
  <si>
    <t>Kegiatan Peningkatan Pembangunan EBT</t>
  </si>
  <si>
    <t>A.2.a</t>
  </si>
  <si>
    <t>Dapur Usaha UMKM</t>
  </si>
  <si>
    <t>A.2.a.1</t>
  </si>
  <si>
    <t>Selang Pompa Air 2 inch</t>
  </si>
  <si>
    <t>A.2.a.2</t>
  </si>
  <si>
    <t>Tandon</t>
  </si>
  <si>
    <t>Bantuan Pendampingan</t>
  </si>
  <si>
    <t>Bantuan Transport</t>
  </si>
  <si>
    <t>B.1.1</t>
  </si>
  <si>
    <t>Pelaksanaan kegiatan</t>
  </si>
  <si>
    <t>PO</t>
  </si>
  <si>
    <t>Bantuan Mentoring Mentor</t>
  </si>
  <si>
    <t>B.2.1</t>
  </si>
  <si>
    <t>Honor Pemateri</t>
  </si>
  <si>
    <t>Biaya Pendukung</t>
  </si>
  <si>
    <t>Kegiatan Penurunan Emisi CO2</t>
  </si>
  <si>
    <t>C.1.a</t>
  </si>
  <si>
    <t>Program Penanaman Pohon Buah</t>
  </si>
  <si>
    <t>C.1.a.1</t>
  </si>
  <si>
    <t>Bibit Pohon</t>
  </si>
  <si>
    <t>C.1.a.2</t>
  </si>
  <si>
    <t>Konsumsi Penanaman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</si>
</sst>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66B2"/>
      <sz val="14"/>
    </font>
    <font>
      <color rgb="FF475569"/>
    </font>
    <font>
      <b/>
      <color rgb="FF0066B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DFF0FF"/>
      </patternFill>
    </fill>
  </fills>
  <borders count="2">
    <border>
      <left/>
      <right/>
      <top/>
      <bottom/>
      <diagonal/>
    </border>
    <border>
      <left style="thin">
        <color rgb="FFC6D3E4"/>
      </left>
      <right style="thin">
        <color rgb="FFC6D3E4"/>
      </right>
      <top style="thin">
        <color rgb="FFC6D3E4"/>
      </top>
      <bottom style="thin">
        <color rgb="FFC6D3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3" fontId="0" fillId="2" borderId="1" xfId="0" applyNumberFormat="1" applyFill="1" applyBorder="1"/>
    <xf numFmtId="3" fontId="0" fillId="0" borderId="1" xfId="0" applyNumberFormat="1" applyBorder="1"/>
    <xf numFmtId="0" fontId="3" fillId="3" borderId="1" xfId="0" applyFont="1" applyFill="1" applyBorder="1"/>
    <xf numFmtId="0" fontId="0" fillId="0" borderId="1" xfId="0" applyBorder="1"/>
    <xf numFmtId="0" fontId="4" fillId="0" borderId="1" xfId="0" applyFont="1" applyBorder="1"/>
    <xf numFmtId="3" fontId="4" fillId="0" borderId="1" xfId="0" applyNumberFormat="1" applyFont="1" applyBorder="1"/>
    <xf numFmtId="3" fontId="0" fillId="0" borderId="0" xfId="0" applyNumberFormat="1"/>
  </cellXfs>
  <cellStyles count="1">
    <cellStyle name="Normal" xfId="0" builtinId="0"/>
  </cellStyles>
  <dxfs count="8">
    <dxf>
      <fill>
        <patternFill patternType="solid">
          <bgColor rgb="FFD9DEE6"/>
        </patternFill>
      </fill>
    </dxf>
    <dxf>
      <font>
        <b/>
        <color rgb="FF0B2545"/>
      </font>
      <fill>
        <patternFill patternType="solid">
          <bgColor rgb="FFB8E2FF"/>
        </patternFill>
      </fill>
      <border>
        <left/>
        <right/>
        <top style="medium">
          <color rgb="FF0066B2"/>
        </top>
        <bottom/>
        <diagonal/>
      </border>
    </dxf>
    <dxf>
      <font>
        <b/>
        <color rgb="FF0B2545"/>
      </font>
      <fill>
        <patternFill patternType="solid">
          <bgColor rgb="FFEEF3FA"/>
        </patternFill>
      </fill>
    </dxf>
    <dxf>
      <font>
        <b/>
        <i/>
        <color rgb="FF475569"/>
      </font>
    </dxf>
    <dxf>
      <fill>
        <patternFill patternType="solid">
          <bgColor rgb="FFD9DEE6"/>
        </patternFill>
      </fill>
    </dxf>
    <dxf>
      <font>
        <b/>
        <color rgb="FF0B2545"/>
      </font>
      <fill>
        <patternFill patternType="solid">
          <bgColor rgb="FFB8E2FF"/>
        </patternFill>
      </fill>
      <border>
        <left/>
        <right/>
        <top style="medium">
          <color rgb="FF0066B2"/>
        </top>
        <bottom/>
        <diagonal/>
      </border>
    </dxf>
    <dxf>
      <font>
        <b/>
        <color rgb="FF0B2545"/>
      </font>
      <fill>
        <patternFill patternType="solid">
          <bgColor rgb="FFEEF3FA"/>
        </patternFill>
      </fill>
    </dxf>
    <dxf>
      <font>
        <b/>
        <i/>
        <color rgb="FF47556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44" customWidth="1"/>
    <col min="3" max="5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ht="30" customHeight="1" spans="1:5" x14ac:dyDescent="0.25">
      <c r="A5" s="4" t="s">
        <v>3</v>
      </c>
      <c r="B5" s="4"/>
      <c r="C5" s="4"/>
      <c r="D5" s="4"/>
      <c r="E5" s="4"/>
    </row>
    <row r="6" ht="30" customHeight="1" spans="1:5" x14ac:dyDescent="0.25">
      <c r="A6" s="4" t="s">
        <v>4</v>
      </c>
      <c r="B6" s="4"/>
      <c r="C6" s="4"/>
      <c r="D6" s="4"/>
      <c r="E6" s="4"/>
    </row>
    <row r="7" ht="30" customHeight="1" spans="1:5" x14ac:dyDescent="0.25">
      <c r="A7" s="4" t="s">
        <v>5</v>
      </c>
      <c r="B7" s="4"/>
      <c r="C7" s="4"/>
      <c r="D7" s="4"/>
      <c r="E7" s="4"/>
    </row>
    <row r="8" ht="30" customHeight="1" spans="1:5" x14ac:dyDescent="0.25">
      <c r="A8" s="4" t="s">
        <v>6</v>
      </c>
      <c r="B8" s="4"/>
      <c r="C8" s="4"/>
      <c r="D8" s="4"/>
      <c r="E8" s="4"/>
    </row>
    <row r="9" ht="30" customHeight="1" spans="1:5" x14ac:dyDescent="0.25">
      <c r="A9" s="4" t="s">
        <v>7</v>
      </c>
      <c r="B9" s="4"/>
      <c r="C9" s="4"/>
      <c r="D9" s="4"/>
      <c r="E9" s="4"/>
    </row>
    <row r="10" ht="30" customHeight="1" spans="1:5" x14ac:dyDescent="0.25">
      <c r="A10" s="4" t="s">
        <v>8</v>
      </c>
      <c r="B10" s="4"/>
      <c r="C10" s="4"/>
      <c r="D10" s="4"/>
      <c r="E10" s="4"/>
    </row>
    <row r="12" spans="1:1" x14ac:dyDescent="0.25">
      <c r="A12" s="3" t="s">
        <v>9</v>
      </c>
    </row>
    <row r="13" spans="1:3" x14ac:dyDescent="0.25">
      <c r="A13" s="5" t="s">
        <v>10</v>
      </c>
      <c r="B13" s="6"/>
      <c r="C13" s="2" t="s">
        <v>11</v>
      </c>
    </row>
    <row r="14" spans="1:2" x14ac:dyDescent="0.25">
      <c r="A14" s="5" t="s">
        <v>12</v>
      </c>
      <c r="B14" s="7">
        <f>B13*70%</f>
      </c>
    </row>
    <row r="15" spans="1:3" x14ac:dyDescent="0.25">
      <c r="A15" s="5" t="s">
        <v>13</v>
      </c>
      <c r="B15" s="7">
        <f>SUM('RAB Tahap 1'!E:E)</f>
      </c>
      <c r="C15" s="2" t="s">
        <v>14</v>
      </c>
    </row>
    <row r="16" spans="1:3" x14ac:dyDescent="0.25">
      <c r="A16" s="5" t="s">
        <v>15</v>
      </c>
      <c r="B16" s="7">
        <f>SUM('RAB Tahap 2'!E:E)</f>
      </c>
      <c r="C16" s="2" t="s">
        <v>16</v>
      </c>
    </row>
    <row r="17" spans="1:2" x14ac:dyDescent="0.25">
      <c r="A17" s="5" t="s">
        <v>17</v>
      </c>
      <c r="B17" s="7">
        <f>B15+B16</f>
      </c>
    </row>
    <row r="18" spans="1:2" x14ac:dyDescent="0.25">
      <c r="A18" s="5" t="s">
        <v>18</v>
      </c>
      <c r="B18" s="7">
        <f>B14-B15</f>
      </c>
    </row>
    <row r="19" spans="1:2" x14ac:dyDescent="0.25">
      <c r="A19" s="5" t="s">
        <v>19</v>
      </c>
      <c r="B19" s="7">
        <f>B13-B17</f>
      </c>
    </row>
    <row r="20" spans="1:2" x14ac:dyDescent="0.25">
      <c r="A20" s="5" t="s">
        <v>20</v>
      </c>
      <c r="B20" s="7">
        <f>IF(B13=0,"Isi Nilai SK dulu",IF(B15&lt;=B14,"Tidak melebihi batas","Melebihi batas"))</f>
      </c>
    </row>
    <row r="21" spans="1:2" x14ac:dyDescent="0.25">
      <c r="A21" s="5" t="s">
        <v>21</v>
      </c>
      <c r="B21" s="7">
        <f>IF(B13=0,"",IF(B17=B13,"Sama dengan Nilai SK",IF(B17&lt;B13,"Di bawah Nilai SK","Di atas Nilai SK")))</f>
      </c>
    </row>
    <row r="23" spans="1:1" x14ac:dyDescent="0.25">
      <c r="A23" s="3" t="s">
        <v>22</v>
      </c>
    </row>
    <row r="24" spans="1:5" x14ac:dyDescent="0.25">
      <c r="A24" s="8" t="s">
        <v>23</v>
      </c>
      <c r="B24" s="8" t="s">
        <v>24</v>
      </c>
      <c r="C24" s="8" t="s">
        <v>25</v>
      </c>
      <c r="D24" s="8" t="s">
        <v>26</v>
      </c>
      <c r="E24" s="8" t="s">
        <v>27</v>
      </c>
    </row>
    <row r="25" spans="1:5" x14ac:dyDescent="0.25">
      <c r="A25" s="9" t="s">
        <v>28</v>
      </c>
      <c r="B25" s="9">
        <f>IFERROR(INDEX('RAB Tahap 1'!B:B,MATCH($A25,'RAB Tahap 1'!A:A,0)),IFERROR(INDEX('RAB Tahap 2'!B:B,MATCH($A25,'RAB Tahap 2'!A:A,0)),""))</f>
      </c>
      <c r="C25" s="7">
        <f>IF($B25="","",SUMIF('RAB Tahap 1'!A:A,$A25&amp;".*",'RAB Tahap 1'!E:E))</f>
      </c>
      <c r="D25" s="7">
        <f>IF($B25="","",SUMIF('RAB Tahap 2'!A:A,$A25&amp;".*",'RAB Tahap 2'!E:E))</f>
      </c>
      <c r="E25" s="7">
        <f>IF($B25="","",C25+D25)</f>
      </c>
    </row>
    <row r="26" spans="1:5" x14ac:dyDescent="0.25">
      <c r="A26" s="9" t="s">
        <v>29</v>
      </c>
      <c r="B26" s="9">
        <f>IFERROR(INDEX('RAB Tahap 1'!B:B,MATCH($A26,'RAB Tahap 1'!A:A,0)),IFERROR(INDEX('RAB Tahap 2'!B:B,MATCH($A26,'RAB Tahap 2'!A:A,0)),""))</f>
      </c>
      <c r="C26" s="7">
        <f>IF($B26="","",SUMIF('RAB Tahap 1'!A:A,$A26&amp;".*",'RAB Tahap 1'!E:E))</f>
      </c>
      <c r="D26" s="7">
        <f>IF($B26="","",SUMIF('RAB Tahap 2'!A:A,$A26&amp;".*",'RAB Tahap 2'!E:E))</f>
      </c>
      <c r="E26" s="7">
        <f>IF($B26="","",C26+D26)</f>
      </c>
    </row>
    <row r="27" spans="1:5" x14ac:dyDescent="0.25">
      <c r="A27" s="9" t="s">
        <v>30</v>
      </c>
      <c r="B27" s="9">
        <f>IFERROR(INDEX('RAB Tahap 1'!B:B,MATCH($A27,'RAB Tahap 1'!A:A,0)),IFERROR(INDEX('RAB Tahap 2'!B:B,MATCH($A27,'RAB Tahap 2'!A:A,0)),""))</f>
      </c>
      <c r="C27" s="7">
        <f>IF($B27="","",SUMIF('RAB Tahap 1'!A:A,$A27&amp;".*",'RAB Tahap 1'!E:E))</f>
      </c>
      <c r="D27" s="7">
        <f>IF($B27="","",SUMIF('RAB Tahap 2'!A:A,$A27&amp;".*",'RAB Tahap 2'!E:E))</f>
      </c>
      <c r="E27" s="7">
        <f>IF($B27="","",C27+D27)</f>
      </c>
    </row>
    <row r="28" spans="1:5" x14ac:dyDescent="0.25">
      <c r="A28" s="9" t="s">
        <v>31</v>
      </c>
      <c r="B28" s="9">
        <f>IFERROR(INDEX('RAB Tahap 1'!B:B,MATCH($A28,'RAB Tahap 1'!A:A,0)),IFERROR(INDEX('RAB Tahap 2'!B:B,MATCH($A28,'RAB Tahap 2'!A:A,0)),""))</f>
      </c>
      <c r="C28" s="7">
        <f>IF($B28="","",SUMIF('RAB Tahap 1'!A:A,$A28&amp;".*",'RAB Tahap 1'!E:E))</f>
      </c>
      <c r="D28" s="7">
        <f>IF($B28="","",SUMIF('RAB Tahap 2'!A:A,$A28&amp;".*",'RAB Tahap 2'!E:E))</f>
      </c>
      <c r="E28" s="7">
        <f>IF($B28="","",C28+D28)</f>
      </c>
    </row>
    <row r="29" spans="1:5" x14ac:dyDescent="0.25">
      <c r="A29" s="9" t="s">
        <v>32</v>
      </c>
      <c r="B29" s="9">
        <f>IFERROR(INDEX('RAB Tahap 1'!B:B,MATCH($A29,'RAB Tahap 1'!A:A,0)),IFERROR(INDEX('RAB Tahap 2'!B:B,MATCH($A29,'RAB Tahap 2'!A:A,0)),""))</f>
      </c>
      <c r="C29" s="7">
        <f>IF($B29="","",SUMIF('RAB Tahap 1'!A:A,$A29&amp;".*",'RAB Tahap 1'!E:E))</f>
      </c>
      <c r="D29" s="7">
        <f>IF($B29="","",SUMIF('RAB Tahap 2'!A:A,$A29&amp;".*",'RAB Tahap 2'!E:E))</f>
      </c>
      <c r="E29" s="7">
        <f>IF($B29="","",C29+D29)</f>
      </c>
    </row>
    <row r="30" spans="1:5" x14ac:dyDescent="0.25">
      <c r="A30" s="9"/>
      <c r="B30" s="10" t="s">
        <v>33</v>
      </c>
      <c r="C30" s="11">
        <f>SUM(C25:C29)</f>
      </c>
      <c r="D30" s="11">
        <f>SUM(D25:D29)</f>
      </c>
      <c r="E30" s="11">
        <f>SUM(E25:E29)</f>
      </c>
    </row>
    <row r="32" spans="1:1" x14ac:dyDescent="0.25">
      <c r="A32" s="3" t="s">
        <v>34</v>
      </c>
    </row>
    <row r="33" spans="1:5" x14ac:dyDescent="0.25">
      <c r="A33" s="8" t="s">
        <v>23</v>
      </c>
      <c r="B33" s="8" t="s">
        <v>24</v>
      </c>
      <c r="C33" s="8" t="s">
        <v>25</v>
      </c>
      <c r="D33" s="8" t="s">
        <v>26</v>
      </c>
      <c r="E33" s="8" t="s">
        <v>27</v>
      </c>
    </row>
    <row r="34" spans="1:5" x14ac:dyDescent="0.25">
      <c r="A34" s="9" t="s">
        <v>35</v>
      </c>
      <c r="B34" s="9">
        <f>IFERROR(INDEX('RAB Tahap 1'!B:B,MATCH($A34,'RAB Tahap 1'!A:A,0)),IFERROR(INDEX('RAB Tahap 2'!B:B,MATCH($A34,'RAB Tahap 2'!A:A,0)),""))</f>
      </c>
      <c r="C34" s="7">
        <f>IF($B34="","",SUMIF('RAB Tahap 1'!A:A,$A34&amp;".*",'RAB Tahap 1'!E:E))</f>
      </c>
      <c r="D34" s="7">
        <f>IF($B34="","",SUMIF('RAB Tahap 2'!A:A,$A34&amp;".*",'RAB Tahap 2'!E:E))</f>
      </c>
      <c r="E34" s="7">
        <f>IF($B34="","",C34+D34)</f>
      </c>
    </row>
    <row r="35" spans="1:5" x14ac:dyDescent="0.25">
      <c r="A35" s="9" t="s">
        <v>36</v>
      </c>
      <c r="B35" s="9">
        <f>IFERROR(INDEX('RAB Tahap 1'!B:B,MATCH($A35,'RAB Tahap 1'!A:A,0)),IFERROR(INDEX('RAB Tahap 2'!B:B,MATCH($A35,'RAB Tahap 2'!A:A,0)),""))</f>
      </c>
      <c r="C35" s="7">
        <f>IF($B35="","",SUMIF('RAB Tahap 1'!A:A,$A35&amp;".*",'RAB Tahap 1'!E:E))</f>
      </c>
      <c r="D35" s="7">
        <f>IF($B35="","",SUMIF('RAB Tahap 2'!A:A,$A35&amp;".*",'RAB Tahap 2'!E:E))</f>
      </c>
      <c r="E35" s="7">
        <f>IF($B35="","",C35+D35)</f>
      </c>
    </row>
    <row r="36" spans="1:5" x14ac:dyDescent="0.25">
      <c r="A36" s="9" t="s">
        <v>37</v>
      </c>
      <c r="B36" s="9">
        <f>IFERROR(INDEX('RAB Tahap 1'!B:B,MATCH($A36,'RAB Tahap 1'!A:A,0)),IFERROR(INDEX('RAB Tahap 2'!B:B,MATCH($A36,'RAB Tahap 2'!A:A,0)),""))</f>
      </c>
      <c r="C36" s="7">
        <f>IF($B36="","",SUMIF('RAB Tahap 1'!A:A,$A36&amp;".*",'RAB Tahap 1'!E:E))</f>
      </c>
      <c r="D36" s="7">
        <f>IF($B36="","",SUMIF('RAB Tahap 2'!A:A,$A36&amp;".*",'RAB Tahap 2'!E:E))</f>
      </c>
      <c r="E36" s="7">
        <f>IF($B36="","",C36+D36)</f>
      </c>
    </row>
    <row r="37" spans="1:5" x14ac:dyDescent="0.25">
      <c r="A37" s="9" t="s">
        <v>38</v>
      </c>
      <c r="B37" s="9">
        <f>IFERROR(INDEX('RAB Tahap 1'!B:B,MATCH($A37,'RAB Tahap 1'!A:A,0)),IFERROR(INDEX('RAB Tahap 2'!B:B,MATCH($A37,'RAB Tahap 2'!A:A,0)),""))</f>
      </c>
      <c r="C37" s="7">
        <f>IF($B37="","",SUMIF('RAB Tahap 1'!A:A,$A37&amp;".*",'RAB Tahap 1'!E:E))</f>
      </c>
      <c r="D37" s="7">
        <f>IF($B37="","",SUMIF('RAB Tahap 2'!A:A,$A37&amp;".*",'RAB Tahap 2'!E:E))</f>
      </c>
      <c r="E37" s="7">
        <f>IF($B37="","",C37+D37)</f>
      </c>
    </row>
    <row r="38" spans="1:5" x14ac:dyDescent="0.25">
      <c r="A38" s="9" t="s">
        <v>39</v>
      </c>
      <c r="B38" s="9">
        <f>IFERROR(INDEX('RAB Tahap 1'!B:B,MATCH($A38,'RAB Tahap 1'!A:A,0)),IFERROR(INDEX('RAB Tahap 2'!B:B,MATCH($A38,'RAB Tahap 2'!A:A,0)),""))</f>
      </c>
      <c r="C38" s="7">
        <f>IF($B38="","",SUMIF('RAB Tahap 1'!A:A,$A38&amp;".*",'RAB Tahap 1'!E:E))</f>
      </c>
      <c r="D38" s="7">
        <f>IF($B38="","",SUMIF('RAB Tahap 2'!A:A,$A38&amp;".*",'RAB Tahap 2'!E:E))</f>
      </c>
      <c r="E38" s="7">
        <f>IF($B38="","",C38+D38)</f>
      </c>
    </row>
    <row r="39" spans="1:5" x14ac:dyDescent="0.25">
      <c r="A39" s="9" t="s">
        <v>40</v>
      </c>
      <c r="B39" s="9">
        <f>IFERROR(INDEX('RAB Tahap 1'!B:B,MATCH($A39,'RAB Tahap 1'!A:A,0)),IFERROR(INDEX('RAB Tahap 2'!B:B,MATCH($A39,'RAB Tahap 2'!A:A,0)),""))</f>
      </c>
      <c r="C39" s="7">
        <f>IF($B39="","",SUMIF('RAB Tahap 1'!A:A,$A39&amp;".*",'RAB Tahap 1'!E:E))</f>
      </c>
      <c r="D39" s="7">
        <f>IF($B39="","",SUMIF('RAB Tahap 2'!A:A,$A39&amp;".*",'RAB Tahap 2'!E:E))</f>
      </c>
      <c r="E39" s="7">
        <f>IF($B39="","",C39+D39)</f>
      </c>
    </row>
    <row r="40" spans="1:5" x14ac:dyDescent="0.25">
      <c r="A40" s="9" t="s">
        <v>41</v>
      </c>
      <c r="B40" s="9">
        <f>IFERROR(INDEX('RAB Tahap 1'!B:B,MATCH($A40,'RAB Tahap 1'!A:A,0)),IFERROR(INDEX('RAB Tahap 2'!B:B,MATCH($A40,'RAB Tahap 2'!A:A,0)),""))</f>
      </c>
      <c r="C40" s="7">
        <f>IF($B40="","",SUMIF('RAB Tahap 1'!A:A,$A40&amp;".*",'RAB Tahap 1'!E:E))</f>
      </c>
      <c r="D40" s="7">
        <f>IF($B40="","",SUMIF('RAB Tahap 2'!A:A,$A40&amp;".*",'RAB Tahap 2'!E:E))</f>
      </c>
      <c r="E40" s="7">
        <f>IF($B40="","",C40+D40)</f>
      </c>
    </row>
    <row r="41" spans="1:5" x14ac:dyDescent="0.25">
      <c r="A41" s="9" t="s">
        <v>42</v>
      </c>
      <c r="B41" s="9">
        <f>IFERROR(INDEX('RAB Tahap 1'!B:B,MATCH($A41,'RAB Tahap 1'!A:A,0)),IFERROR(INDEX('RAB Tahap 2'!B:B,MATCH($A41,'RAB Tahap 2'!A:A,0)),""))</f>
      </c>
      <c r="C41" s="7">
        <f>IF($B41="","",SUMIF('RAB Tahap 1'!A:A,$A41&amp;".*",'RAB Tahap 1'!E:E))</f>
      </c>
      <c r="D41" s="7">
        <f>IF($B41="","",SUMIF('RAB Tahap 2'!A:A,$A41&amp;".*",'RAB Tahap 2'!E:E))</f>
      </c>
      <c r="E41" s="7">
        <f>IF($B41="","",C41+D41)</f>
      </c>
    </row>
    <row r="42" spans="1:5" x14ac:dyDescent="0.25">
      <c r="A42" s="9" t="s">
        <v>43</v>
      </c>
      <c r="B42" s="9">
        <f>IFERROR(INDEX('RAB Tahap 1'!B:B,MATCH($A42,'RAB Tahap 1'!A:A,0)),IFERROR(INDEX('RAB Tahap 2'!B:B,MATCH($A42,'RAB Tahap 2'!A:A,0)),""))</f>
      </c>
      <c r="C42" s="7">
        <f>IF($B42="","",SUMIF('RAB Tahap 1'!A:A,$A42&amp;".*",'RAB Tahap 1'!E:E))</f>
      </c>
      <c r="D42" s="7">
        <f>IF($B42="","",SUMIF('RAB Tahap 2'!A:A,$A42&amp;".*",'RAB Tahap 2'!E:E))</f>
      </c>
      <c r="E42" s="7">
        <f>IF($B42="","",C42+D42)</f>
      </c>
    </row>
    <row r="43" spans="1:5" x14ac:dyDescent="0.25">
      <c r="A43" s="9" t="s">
        <v>44</v>
      </c>
      <c r="B43" s="9">
        <f>IFERROR(INDEX('RAB Tahap 1'!B:B,MATCH($A43,'RAB Tahap 1'!A:A,0)),IFERROR(INDEX('RAB Tahap 2'!B:B,MATCH($A43,'RAB Tahap 2'!A:A,0)),""))</f>
      </c>
      <c r="C43" s="7">
        <f>IF($B43="","",SUMIF('RAB Tahap 1'!A:A,$A43&amp;".*",'RAB Tahap 1'!E:E))</f>
      </c>
      <c r="D43" s="7">
        <f>IF($B43="","",SUMIF('RAB Tahap 2'!A:A,$A43&amp;".*",'RAB Tahap 2'!E:E))</f>
      </c>
      <c r="E43" s="7">
        <f>IF($B43="","",C43+D43)</f>
      </c>
    </row>
    <row r="44" spans="1:5" x14ac:dyDescent="0.25">
      <c r="A44" s="9" t="s">
        <v>45</v>
      </c>
      <c r="B44" s="9">
        <f>IFERROR(INDEX('RAB Tahap 1'!B:B,MATCH($A44,'RAB Tahap 1'!A:A,0)),IFERROR(INDEX('RAB Tahap 2'!B:B,MATCH($A44,'RAB Tahap 2'!A:A,0)),""))</f>
      </c>
      <c r="C44" s="7">
        <f>IF($B44="","",SUMIF('RAB Tahap 1'!A:A,$A44&amp;".*",'RAB Tahap 1'!E:E))</f>
      </c>
      <c r="D44" s="7">
        <f>IF($B44="","",SUMIF('RAB Tahap 2'!A:A,$A44&amp;".*",'RAB Tahap 2'!E:E))</f>
      </c>
      <c r="E44" s="7">
        <f>IF($B44="","",C44+D44)</f>
      </c>
    </row>
    <row r="45" spans="1:5" x14ac:dyDescent="0.25">
      <c r="A45" s="9" t="s">
        <v>46</v>
      </c>
      <c r="B45" s="9">
        <f>IFERROR(INDEX('RAB Tahap 1'!B:B,MATCH($A45,'RAB Tahap 1'!A:A,0)),IFERROR(INDEX('RAB Tahap 2'!B:B,MATCH($A45,'RAB Tahap 2'!A:A,0)),""))</f>
      </c>
      <c r="C45" s="7">
        <f>IF($B45="","",SUMIF('RAB Tahap 1'!A:A,$A45&amp;".*",'RAB Tahap 1'!E:E))</f>
      </c>
      <c r="D45" s="7">
        <f>IF($B45="","",SUMIF('RAB Tahap 2'!A:A,$A45&amp;".*",'RAB Tahap 2'!E:E))</f>
      </c>
      <c r="E45" s="7">
        <f>IF($B45="","",C45+D45)</f>
      </c>
    </row>
    <row r="46" spans="1:5" x14ac:dyDescent="0.25">
      <c r="A46" s="9" t="s">
        <v>47</v>
      </c>
      <c r="B46" s="9">
        <f>IFERROR(INDEX('RAB Tahap 1'!B:B,MATCH($A46,'RAB Tahap 1'!A:A,0)),IFERROR(INDEX('RAB Tahap 2'!B:B,MATCH($A46,'RAB Tahap 2'!A:A,0)),""))</f>
      </c>
      <c r="C46" s="7">
        <f>IF($B46="","",SUMIF('RAB Tahap 1'!A:A,$A46&amp;".*",'RAB Tahap 1'!E:E))</f>
      </c>
      <c r="D46" s="7">
        <f>IF($B46="","",SUMIF('RAB Tahap 2'!A:A,$A46&amp;".*",'RAB Tahap 2'!E:E))</f>
      </c>
      <c r="E46" s="7">
        <f>IF($B46="","",C46+D46)</f>
      </c>
    </row>
    <row r="47" spans="1:5" x14ac:dyDescent="0.25">
      <c r="A47" s="9" t="s">
        <v>48</v>
      </c>
      <c r="B47" s="9">
        <f>IFERROR(INDEX('RAB Tahap 1'!B:B,MATCH($A47,'RAB Tahap 1'!A:A,0)),IFERROR(INDEX('RAB Tahap 2'!B:B,MATCH($A47,'RAB Tahap 2'!A:A,0)),""))</f>
      </c>
      <c r="C47" s="7">
        <f>IF($B47="","",SUMIF('RAB Tahap 1'!A:A,$A47&amp;".*",'RAB Tahap 1'!E:E))</f>
      </c>
      <c r="D47" s="7">
        <f>IF($B47="","",SUMIF('RAB Tahap 2'!A:A,$A47&amp;".*",'RAB Tahap 2'!E:E))</f>
      </c>
      <c r="E47" s="7">
        <f>IF($B47="","",C47+D47)</f>
      </c>
    </row>
    <row r="48" spans="1:5" x14ac:dyDescent="0.25">
      <c r="A48" s="9" t="s">
        <v>49</v>
      </c>
      <c r="B48" s="9">
        <f>IFERROR(INDEX('RAB Tahap 1'!B:B,MATCH($A48,'RAB Tahap 1'!A:A,0)),IFERROR(INDEX('RAB Tahap 2'!B:B,MATCH($A48,'RAB Tahap 2'!A:A,0)),""))</f>
      </c>
      <c r="C48" s="7">
        <f>IF($B48="","",SUMIF('RAB Tahap 1'!A:A,$A48&amp;".*",'RAB Tahap 1'!E:E))</f>
      </c>
      <c r="D48" s="7">
        <f>IF($B48="","",SUMIF('RAB Tahap 2'!A:A,$A48&amp;".*",'RAB Tahap 2'!E:E))</f>
      </c>
      <c r="E48" s="7">
        <f>IF($B48="","",C48+D48)</f>
      </c>
    </row>
    <row r="49" spans="1:5" x14ac:dyDescent="0.25">
      <c r="A49" s="9" t="s">
        <v>50</v>
      </c>
      <c r="B49" s="9">
        <f>IFERROR(INDEX('RAB Tahap 1'!B:B,MATCH($A49,'RAB Tahap 1'!A:A,0)),IFERROR(INDEX('RAB Tahap 2'!B:B,MATCH($A49,'RAB Tahap 2'!A:A,0)),""))</f>
      </c>
      <c r="C49" s="7">
        <f>IF($B49="","",SUMIF('RAB Tahap 1'!A:A,$A49&amp;".*",'RAB Tahap 1'!E:E))</f>
      </c>
      <c r="D49" s="7">
        <f>IF($B49="","",SUMIF('RAB Tahap 2'!A:A,$A49&amp;".*",'RAB Tahap 2'!E:E))</f>
      </c>
      <c r="E49" s="7">
        <f>IF($B49="","",C49+D49)</f>
      </c>
    </row>
    <row r="50" spans="1:5" x14ac:dyDescent="0.25">
      <c r="A50" s="9" t="s">
        <v>51</v>
      </c>
      <c r="B50" s="9">
        <f>IFERROR(INDEX('RAB Tahap 1'!B:B,MATCH($A50,'RAB Tahap 1'!A:A,0)),IFERROR(INDEX('RAB Tahap 2'!B:B,MATCH($A50,'RAB Tahap 2'!A:A,0)),""))</f>
      </c>
      <c r="C50" s="7">
        <f>IF($B50="","",SUMIF('RAB Tahap 1'!A:A,$A50&amp;".*",'RAB Tahap 1'!E:E))</f>
      </c>
      <c r="D50" s="7">
        <f>IF($B50="","",SUMIF('RAB Tahap 2'!A:A,$A50&amp;".*",'RAB Tahap 2'!E:E))</f>
      </c>
      <c r="E50" s="7">
        <f>IF($B50="","",C50+D50)</f>
      </c>
    </row>
    <row r="51" spans="1:5" x14ac:dyDescent="0.25">
      <c r="A51" s="9" t="s">
        <v>52</v>
      </c>
      <c r="B51" s="9">
        <f>IFERROR(INDEX('RAB Tahap 1'!B:B,MATCH($A51,'RAB Tahap 1'!A:A,0)),IFERROR(INDEX('RAB Tahap 2'!B:B,MATCH($A51,'RAB Tahap 2'!A:A,0)),""))</f>
      </c>
      <c r="C51" s="7">
        <f>IF($B51="","",SUMIF('RAB Tahap 1'!A:A,$A51&amp;".*",'RAB Tahap 1'!E:E))</f>
      </c>
      <c r="D51" s="7">
        <f>IF($B51="","",SUMIF('RAB Tahap 2'!A:A,$A51&amp;".*",'RAB Tahap 2'!E:E))</f>
      </c>
      <c r="E51" s="7">
        <f>IF($B51="","",C51+D51)</f>
      </c>
    </row>
    <row r="52" spans="1:5" x14ac:dyDescent="0.25">
      <c r="A52" s="9" t="s">
        <v>53</v>
      </c>
      <c r="B52" s="9">
        <f>IFERROR(INDEX('RAB Tahap 1'!B:B,MATCH($A52,'RAB Tahap 1'!A:A,0)),IFERROR(INDEX('RAB Tahap 2'!B:B,MATCH($A52,'RAB Tahap 2'!A:A,0)),""))</f>
      </c>
      <c r="C52" s="7">
        <f>IF($B52="","",SUMIF('RAB Tahap 1'!A:A,$A52&amp;".*",'RAB Tahap 1'!E:E))</f>
      </c>
      <c r="D52" s="7">
        <f>IF($B52="","",SUMIF('RAB Tahap 2'!A:A,$A52&amp;".*",'RAB Tahap 2'!E:E))</f>
      </c>
      <c r="E52" s="7">
        <f>IF($B52="","",C52+D52)</f>
      </c>
    </row>
    <row r="53" spans="1:5" x14ac:dyDescent="0.25">
      <c r="A53" s="9" t="s">
        <v>54</v>
      </c>
      <c r="B53" s="9">
        <f>IFERROR(INDEX('RAB Tahap 1'!B:B,MATCH($A53,'RAB Tahap 1'!A:A,0)),IFERROR(INDEX('RAB Tahap 2'!B:B,MATCH($A53,'RAB Tahap 2'!A:A,0)),""))</f>
      </c>
      <c r="C53" s="7">
        <f>IF($B53="","",SUMIF('RAB Tahap 1'!A:A,$A53&amp;".*",'RAB Tahap 1'!E:E))</f>
      </c>
      <c r="D53" s="7">
        <f>IF($B53="","",SUMIF('RAB Tahap 2'!A:A,$A53&amp;".*",'RAB Tahap 2'!E:E))</f>
      </c>
      <c r="E53" s="7">
        <f>IF($B53="","",C53+D53)</f>
      </c>
    </row>
    <row r="54" spans="1:5" x14ac:dyDescent="0.25">
      <c r="A54" s="9" t="s">
        <v>55</v>
      </c>
      <c r="B54" s="9">
        <f>IFERROR(INDEX('RAB Tahap 1'!B:B,MATCH($A54,'RAB Tahap 1'!A:A,0)),IFERROR(INDEX('RAB Tahap 2'!B:B,MATCH($A54,'RAB Tahap 2'!A:A,0)),""))</f>
      </c>
      <c r="C54" s="7">
        <f>IF($B54="","",SUMIF('RAB Tahap 1'!A:A,$A54&amp;".*",'RAB Tahap 1'!E:E))</f>
      </c>
      <c r="D54" s="7">
        <f>IF($B54="","",SUMIF('RAB Tahap 2'!A:A,$A54&amp;".*",'RAB Tahap 2'!E:E))</f>
      </c>
      <c r="E54" s="7">
        <f>IF($B54="","",C54+D54)</f>
      </c>
    </row>
    <row r="55" spans="1:5" x14ac:dyDescent="0.25">
      <c r="A55" s="9" t="s">
        <v>56</v>
      </c>
      <c r="B55" s="9">
        <f>IFERROR(INDEX('RAB Tahap 1'!B:B,MATCH($A55,'RAB Tahap 1'!A:A,0)),IFERROR(INDEX('RAB Tahap 2'!B:B,MATCH($A55,'RAB Tahap 2'!A:A,0)),""))</f>
      </c>
      <c r="C55" s="7">
        <f>IF($B55="","",SUMIF('RAB Tahap 1'!A:A,$A55&amp;".*",'RAB Tahap 1'!E:E))</f>
      </c>
      <c r="D55" s="7">
        <f>IF($B55="","",SUMIF('RAB Tahap 2'!A:A,$A55&amp;".*",'RAB Tahap 2'!E:E))</f>
      </c>
      <c r="E55" s="7">
        <f>IF($B55="","",C55+D55)</f>
      </c>
    </row>
    <row r="56" spans="1:5" x14ac:dyDescent="0.25">
      <c r="A56" s="9" t="s">
        <v>57</v>
      </c>
      <c r="B56" s="9">
        <f>IFERROR(INDEX('RAB Tahap 1'!B:B,MATCH($A56,'RAB Tahap 1'!A:A,0)),IFERROR(INDEX('RAB Tahap 2'!B:B,MATCH($A56,'RAB Tahap 2'!A:A,0)),""))</f>
      </c>
      <c r="C56" s="7">
        <f>IF($B56="","",SUMIF('RAB Tahap 1'!A:A,$A56&amp;".*",'RAB Tahap 1'!E:E))</f>
      </c>
      <c r="D56" s="7">
        <f>IF($B56="","",SUMIF('RAB Tahap 2'!A:A,$A56&amp;".*",'RAB Tahap 2'!E:E))</f>
      </c>
      <c r="E56" s="7">
        <f>IF($B56="","",C56+D56)</f>
      </c>
    </row>
    <row r="57" spans="1:5" x14ac:dyDescent="0.25">
      <c r="A57" s="9" t="s">
        <v>58</v>
      </c>
      <c r="B57" s="9">
        <f>IFERROR(INDEX('RAB Tahap 1'!B:B,MATCH($A57,'RAB Tahap 1'!A:A,0)),IFERROR(INDEX('RAB Tahap 2'!B:B,MATCH($A57,'RAB Tahap 2'!A:A,0)),""))</f>
      </c>
      <c r="C57" s="7">
        <f>IF($B57="","",SUMIF('RAB Tahap 1'!A:A,$A57&amp;".*",'RAB Tahap 1'!E:E))</f>
      </c>
      <c r="D57" s="7">
        <f>IF($B57="","",SUMIF('RAB Tahap 2'!A:A,$A57&amp;".*",'RAB Tahap 2'!E:E))</f>
      </c>
      <c r="E57" s="7">
        <f>IF($B57="","",C57+D57)</f>
      </c>
    </row>
    <row r="58" spans="1:5" x14ac:dyDescent="0.25">
      <c r="A58" s="9"/>
      <c r="B58" s="10" t="s">
        <v>33</v>
      </c>
      <c r="C58" s="11">
        <f>SUM(C34:C57)</f>
      </c>
      <c r="D58" s="11">
        <f>SUM(D34:D57)</f>
      </c>
      <c r="E58" s="11">
        <f>SUM(E34:E57)</f>
      </c>
    </row>
  </sheetData>
  <mergeCells count="6">
    <mergeCell ref="A5:E5"/>
    <mergeCell ref="A6:E6"/>
    <mergeCell ref="A7:E7"/>
    <mergeCell ref="A8:E8"/>
    <mergeCell ref="A9:E9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2" customWidth="1"/>
    <col min="3" max="4" width="10" customWidth="1"/>
    <col min="5" max="5" width="18" customWidth="1"/>
  </cols>
  <sheetData>
    <row r="1" spans="1:5" s="3" customFormat="1" x14ac:dyDescent="0.25">
      <c r="A1" s="8" t="s">
        <v>59</v>
      </c>
      <c r="B1" s="8" t="s">
        <v>60</v>
      </c>
      <c r="C1" s="8" t="s">
        <v>61</v>
      </c>
      <c r="D1" s="8" t="s">
        <v>62</v>
      </c>
      <c r="E1" s="8" t="s">
        <v>33</v>
      </c>
    </row>
    <row r="2" spans="1:5" x14ac:dyDescent="0.25">
      <c r="A2" s="9" t="s">
        <v>28</v>
      </c>
      <c r="B2" s="9" t="s">
        <v>63</v>
      </c>
      <c r="C2" s="9"/>
      <c r="D2" s="9"/>
      <c r="E2" s="7"/>
    </row>
    <row r="3" spans="1:5" x14ac:dyDescent="0.25">
      <c r="A3" s="9" t="s">
        <v>35</v>
      </c>
      <c r="B3" s="9" t="s">
        <v>64</v>
      </c>
      <c r="C3" s="9"/>
      <c r="D3" s="9"/>
      <c r="E3" s="7"/>
    </row>
    <row r="4" spans="1:5" x14ac:dyDescent="0.25">
      <c r="A4" s="9" t="s">
        <v>65</v>
      </c>
      <c r="B4" s="9" t="s">
        <v>66</v>
      </c>
      <c r="C4" s="9"/>
      <c r="D4" s="9"/>
      <c r="E4" s="7"/>
    </row>
    <row r="5" spans="1:5" x14ac:dyDescent="0.25">
      <c r="A5" s="9" t="s">
        <v>67</v>
      </c>
      <c r="B5" s="9" t="s">
        <v>68</v>
      </c>
      <c r="C5" s="9" t="s">
        <v>69</v>
      </c>
      <c r="D5" s="9">
        <v>10</v>
      </c>
      <c r="E5" s="7">
        <v>200000</v>
      </c>
    </row>
    <row r="6" spans="1:5" x14ac:dyDescent="0.25">
      <c r="A6" s="9" t="s">
        <v>70</v>
      </c>
      <c r="B6" s="9" t="s">
        <v>71</v>
      </c>
      <c r="C6" s="9" t="s">
        <v>69</v>
      </c>
      <c r="D6" s="9">
        <v>8</v>
      </c>
      <c r="E6" s="7">
        <v>200000</v>
      </c>
    </row>
    <row r="7" spans="1:5" x14ac:dyDescent="0.25">
      <c r="A7" s="9" t="s">
        <v>72</v>
      </c>
      <c r="B7" s="9" t="s">
        <v>73</v>
      </c>
      <c r="C7" s="9"/>
      <c r="D7" s="9"/>
      <c r="E7" s="7"/>
    </row>
    <row r="8" spans="1:5" x14ac:dyDescent="0.25">
      <c r="A8" s="9" t="s">
        <v>74</v>
      </c>
      <c r="B8" s="9" t="s">
        <v>75</v>
      </c>
      <c r="C8" s="9" t="s">
        <v>69</v>
      </c>
      <c r="D8" s="9">
        <v>2</v>
      </c>
      <c r="E8" s="7">
        <v>60000</v>
      </c>
    </row>
    <row r="9" spans="1:5" x14ac:dyDescent="0.25">
      <c r="A9" s="9" t="s">
        <v>76</v>
      </c>
      <c r="B9" s="9" t="s">
        <v>77</v>
      </c>
      <c r="C9" s="9" t="s">
        <v>69</v>
      </c>
      <c r="D9" s="9">
        <v>2</v>
      </c>
      <c r="E9" s="7">
        <v>50000</v>
      </c>
    </row>
    <row r="10" spans="1:5" x14ac:dyDescent="0.25">
      <c r="A10" s="9" t="s">
        <v>36</v>
      </c>
      <c r="B10" s="9" t="s">
        <v>78</v>
      </c>
      <c r="C10" s="9"/>
      <c r="D10" s="9"/>
      <c r="E10" s="7"/>
    </row>
    <row r="11" spans="1:5" x14ac:dyDescent="0.25">
      <c r="A11" s="9" t="s">
        <v>79</v>
      </c>
      <c r="B11" s="9" t="s">
        <v>80</v>
      </c>
      <c r="C11" s="9"/>
      <c r="D11" s="9"/>
      <c r="E11" s="7"/>
    </row>
    <row r="12" spans="1:5" x14ac:dyDescent="0.25">
      <c r="A12" s="9" t="s">
        <v>81</v>
      </c>
      <c r="B12" s="9" t="s">
        <v>82</v>
      </c>
      <c r="C12" s="9" t="s">
        <v>69</v>
      </c>
      <c r="D12" s="9">
        <v>20</v>
      </c>
      <c r="E12" s="7">
        <v>1600000</v>
      </c>
    </row>
    <row r="13" spans="1:5" x14ac:dyDescent="0.25">
      <c r="A13" s="9" t="s">
        <v>83</v>
      </c>
      <c r="B13" s="9" t="s">
        <v>84</v>
      </c>
      <c r="C13" s="9" t="s">
        <v>69</v>
      </c>
      <c r="D13" s="9">
        <v>4</v>
      </c>
      <c r="E13" s="7">
        <v>6000000</v>
      </c>
    </row>
    <row r="14" spans="1:5" x14ac:dyDescent="0.25">
      <c r="A14" s="9" t="s">
        <v>29</v>
      </c>
      <c r="B14" s="9" t="s">
        <v>85</v>
      </c>
      <c r="C14" s="9"/>
      <c r="D14" s="9"/>
      <c r="E14" s="7"/>
    </row>
    <row r="15" spans="1:5" x14ac:dyDescent="0.25">
      <c r="A15" s="9" t="s">
        <v>41</v>
      </c>
      <c r="B15" s="9" t="s">
        <v>86</v>
      </c>
      <c r="C15" s="9"/>
      <c r="D15" s="9"/>
      <c r="E15" s="7"/>
    </row>
    <row r="16" spans="1:5" x14ac:dyDescent="0.25">
      <c r="A16" s="9" t="s">
        <v>87</v>
      </c>
      <c r="B16" s="9" t="s">
        <v>88</v>
      </c>
      <c r="C16" s="9" t="s">
        <v>89</v>
      </c>
      <c r="D16" s="9">
        <v>84</v>
      </c>
      <c r="E16" s="7">
        <v>1680000</v>
      </c>
    </row>
    <row r="17" spans="1:5" x14ac:dyDescent="0.25">
      <c r="A17" s="9" t="s">
        <v>42</v>
      </c>
      <c r="B17" s="9" t="s">
        <v>90</v>
      </c>
      <c r="C17" s="9"/>
      <c r="D17" s="9"/>
      <c r="E17" s="7"/>
    </row>
    <row r="18" spans="1:5" x14ac:dyDescent="0.25">
      <c r="A18" s="9" t="s">
        <v>91</v>
      </c>
      <c r="B18" s="9" t="s">
        <v>92</v>
      </c>
      <c r="C18" s="9" t="s">
        <v>89</v>
      </c>
      <c r="D18" s="9">
        <v>1</v>
      </c>
      <c r="E18" s="7">
        <v>350000</v>
      </c>
    </row>
    <row r="19" spans="1:5" x14ac:dyDescent="0.25">
      <c r="A19" s="9" t="s">
        <v>30</v>
      </c>
      <c r="B19" s="9" t="s">
        <v>93</v>
      </c>
      <c r="C19" s="9"/>
      <c r="D19" s="9"/>
      <c r="E19" s="7"/>
    </row>
    <row r="20" spans="1:5" x14ac:dyDescent="0.25">
      <c r="A20" s="9" t="s">
        <v>47</v>
      </c>
      <c r="B20" s="9" t="s">
        <v>94</v>
      </c>
      <c r="C20" s="9"/>
      <c r="D20" s="9"/>
      <c r="E20" s="7"/>
    </row>
    <row r="21" spans="1:5" x14ac:dyDescent="0.25">
      <c r="A21" s="9" t="s">
        <v>95</v>
      </c>
      <c r="B21" s="9" t="s">
        <v>96</v>
      </c>
      <c r="C21" s="9"/>
      <c r="D21" s="9"/>
      <c r="E21" s="7"/>
    </row>
    <row r="22" spans="1:5" x14ac:dyDescent="0.25">
      <c r="A22" s="9" t="s">
        <v>97</v>
      </c>
      <c r="B22" s="9" t="s">
        <v>98</v>
      </c>
      <c r="C22" s="9" t="s">
        <v>69</v>
      </c>
      <c r="D22" s="9">
        <v>50</v>
      </c>
      <c r="E22" s="7">
        <v>1000000</v>
      </c>
    </row>
    <row r="23" spans="1:5" x14ac:dyDescent="0.25">
      <c r="A23" s="9" t="s">
        <v>99</v>
      </c>
      <c r="B23" s="9" t="s">
        <v>100</v>
      </c>
      <c r="C23" s="9" t="s">
        <v>69</v>
      </c>
      <c r="D23" s="9">
        <v>30</v>
      </c>
      <c r="E23" s="7">
        <v>750000</v>
      </c>
    </row>
    <row r="24" spans="4:5" x14ac:dyDescent="0.25">
      <c r="E24" s="12"/>
    </row>
    <row r="25" spans="4:5" x14ac:dyDescent="0.25">
      <c r="E25" s="12"/>
    </row>
    <row r="26" spans="4:5" x14ac:dyDescent="0.25">
      <c r="E26" s="12"/>
    </row>
    <row r="27" spans="4:5" x14ac:dyDescent="0.25">
      <c r="E27" s="12"/>
    </row>
    <row r="28" spans="4:5" x14ac:dyDescent="0.25">
      <c r="E28" s="12"/>
    </row>
    <row r="29" spans="4:5" x14ac:dyDescent="0.25">
      <c r="E29" s="12"/>
    </row>
    <row r="30" spans="4:5" x14ac:dyDescent="0.25">
      <c r="E30" s="12"/>
    </row>
    <row r="31" spans="4:5" x14ac:dyDescent="0.25">
      <c r="E31" s="12"/>
    </row>
    <row r="32" spans="4:5" x14ac:dyDescent="0.25">
      <c r="E32" s="12"/>
    </row>
    <row r="33" spans="4:5" x14ac:dyDescent="0.25">
      <c r="E33" s="12"/>
    </row>
    <row r="34" spans="4:5" x14ac:dyDescent="0.25">
      <c r="E34" s="12"/>
    </row>
    <row r="35" spans="4:5" x14ac:dyDescent="0.25">
      <c r="E35" s="12"/>
    </row>
    <row r="36" spans="4:5" x14ac:dyDescent="0.25">
      <c r="E36" s="12"/>
    </row>
    <row r="37" spans="4:5" x14ac:dyDescent="0.25">
      <c r="E37" s="12"/>
    </row>
    <row r="38" spans="4:5" x14ac:dyDescent="0.25">
      <c r="E38" s="12"/>
    </row>
    <row r="39" spans="4:5" x14ac:dyDescent="0.25">
      <c r="E39" s="12"/>
    </row>
    <row r="40" spans="4:5" x14ac:dyDescent="0.25">
      <c r="E40" s="12"/>
    </row>
    <row r="41" spans="4:5" x14ac:dyDescent="0.25">
      <c r="E41" s="12"/>
    </row>
    <row r="42" spans="4:5" x14ac:dyDescent="0.25">
      <c r="E42" s="12"/>
    </row>
    <row r="43" spans="4:5" x14ac:dyDescent="0.25">
      <c r="E43" s="12"/>
    </row>
    <row r="44" spans="4:5" x14ac:dyDescent="0.25">
      <c r="E44" s="12"/>
    </row>
    <row r="45" spans="4:5" x14ac:dyDescent="0.25">
      <c r="E45" s="12"/>
    </row>
    <row r="46" spans="4:5" x14ac:dyDescent="0.25">
      <c r="E46" s="12"/>
    </row>
    <row r="47" spans="4:5" x14ac:dyDescent="0.25">
      <c r="E47" s="12"/>
    </row>
    <row r="48" spans="4:5" x14ac:dyDescent="0.25">
      <c r="E48" s="12"/>
    </row>
    <row r="49" spans="4:5" x14ac:dyDescent="0.25">
      <c r="E49" s="12"/>
    </row>
    <row r="50" spans="4:5" x14ac:dyDescent="0.25">
      <c r="E50" s="12"/>
    </row>
    <row r="51" spans="4:5" x14ac:dyDescent="0.25">
      <c r="E51" s="12"/>
    </row>
    <row r="52" spans="4:5" x14ac:dyDescent="0.25">
      <c r="E52" s="12"/>
    </row>
    <row r="53" spans="4:5" x14ac:dyDescent="0.25">
      <c r="E53" s="12"/>
    </row>
    <row r="54" spans="4:5" x14ac:dyDescent="0.25">
      <c r="E54" s="12"/>
    </row>
    <row r="55" spans="4:5" x14ac:dyDescent="0.25">
      <c r="E55" s="12"/>
    </row>
    <row r="56" spans="4:5" x14ac:dyDescent="0.25">
      <c r="E56" s="12"/>
    </row>
    <row r="57" spans="4:5" x14ac:dyDescent="0.25">
      <c r="E57" s="12"/>
    </row>
    <row r="58" spans="4:5" x14ac:dyDescent="0.25">
      <c r="E58" s="12"/>
    </row>
    <row r="59" spans="4:5" x14ac:dyDescent="0.25">
      <c r="E59" s="12"/>
    </row>
    <row r="60" spans="4:5" x14ac:dyDescent="0.25">
      <c r="E60" s="12"/>
    </row>
    <row r="61" spans="4:5" x14ac:dyDescent="0.25">
      <c r="E61" s="12"/>
    </row>
    <row r="62" spans="4:5" x14ac:dyDescent="0.25">
      <c r="E62" s="12"/>
    </row>
    <row r="63" spans="4:5" x14ac:dyDescent="0.25">
      <c r="E63" s="12"/>
    </row>
    <row r="64" spans="4:5" x14ac:dyDescent="0.25">
      <c r="E64" s="12"/>
    </row>
    <row r="65" spans="4:5" x14ac:dyDescent="0.25">
      <c r="E65" s="12"/>
    </row>
    <row r="66" spans="4:5" x14ac:dyDescent="0.25">
      <c r="E66" s="12"/>
    </row>
    <row r="67" spans="4:5" x14ac:dyDescent="0.25">
      <c r="E67" s="12"/>
    </row>
    <row r="68" spans="4:5" x14ac:dyDescent="0.25">
      <c r="E68" s="12"/>
    </row>
    <row r="69" spans="4:5" x14ac:dyDescent="0.25">
      <c r="E69" s="12"/>
    </row>
    <row r="70" spans="4:5" x14ac:dyDescent="0.25">
      <c r="E70" s="12"/>
    </row>
    <row r="71" spans="4:5" x14ac:dyDescent="0.25">
      <c r="E71" s="12"/>
    </row>
    <row r="72" spans="4:5" x14ac:dyDescent="0.25">
      <c r="E72" s="12"/>
    </row>
    <row r="73" spans="4:5" x14ac:dyDescent="0.25">
      <c r="E73" s="12"/>
    </row>
    <row r="74" spans="4:5" x14ac:dyDescent="0.25">
      <c r="E74" s="12"/>
    </row>
    <row r="75" spans="4:5" x14ac:dyDescent="0.25">
      <c r="E75" s="12"/>
    </row>
    <row r="76" spans="4:5" x14ac:dyDescent="0.25">
      <c r="E76" s="12"/>
    </row>
    <row r="77" spans="4:5" x14ac:dyDescent="0.25">
      <c r="E77" s="12"/>
    </row>
    <row r="78" spans="4:5" x14ac:dyDescent="0.25">
      <c r="E78" s="12"/>
    </row>
    <row r="79" spans="4:5" x14ac:dyDescent="0.25">
      <c r="E79" s="12"/>
    </row>
    <row r="80" spans="4:5" x14ac:dyDescent="0.25">
      <c r="E80" s="12"/>
    </row>
    <row r="81" spans="4:5" x14ac:dyDescent="0.25">
      <c r="E81" s="12"/>
    </row>
    <row r="82" spans="4:5" x14ac:dyDescent="0.25">
      <c r="E82" s="12"/>
    </row>
    <row r="83" spans="4:5" x14ac:dyDescent="0.25">
      <c r="E83" s="12"/>
    </row>
    <row r="84" spans="4:5" x14ac:dyDescent="0.25">
      <c r="E84" s="12"/>
    </row>
    <row r="85" spans="4:5" x14ac:dyDescent="0.25">
      <c r="E85" s="12"/>
    </row>
    <row r="86" spans="4:5" x14ac:dyDescent="0.25">
      <c r="E86" s="12"/>
    </row>
    <row r="87" spans="4:5" x14ac:dyDescent="0.25">
      <c r="E87" s="12"/>
    </row>
    <row r="88" spans="4:5" x14ac:dyDescent="0.25">
      <c r="E88" s="12"/>
    </row>
    <row r="89" spans="4:5" x14ac:dyDescent="0.25">
      <c r="E89" s="12"/>
    </row>
    <row r="90" spans="4:5" x14ac:dyDescent="0.25">
      <c r="E90" s="12"/>
    </row>
    <row r="91" spans="4:5" x14ac:dyDescent="0.25">
      <c r="E91" s="12"/>
    </row>
    <row r="92" spans="4:5" x14ac:dyDescent="0.25">
      <c r="E92" s="12"/>
    </row>
    <row r="93" spans="4:5" x14ac:dyDescent="0.25">
      <c r="E93" s="12"/>
    </row>
    <row r="94" spans="4:5" x14ac:dyDescent="0.25">
      <c r="E94" s="12"/>
    </row>
    <row r="95" spans="4:5" x14ac:dyDescent="0.25">
      <c r="E95" s="12"/>
    </row>
    <row r="96" spans="4:5" x14ac:dyDescent="0.25">
      <c r="E96" s="12"/>
    </row>
    <row r="97" spans="4:5" x14ac:dyDescent="0.25">
      <c r="E97" s="12"/>
    </row>
    <row r="98" spans="4:5" x14ac:dyDescent="0.25">
      <c r="E98" s="12"/>
    </row>
    <row r="99" spans="4:5" x14ac:dyDescent="0.25">
      <c r="E99" s="12"/>
    </row>
    <row r="100" spans="4:5" x14ac:dyDescent="0.25">
      <c r="E100" s="12"/>
    </row>
    <row r="101" spans="4:5" x14ac:dyDescent="0.25">
      <c r="E101" s="12"/>
    </row>
    <row r="102" spans="4:5" x14ac:dyDescent="0.25">
      <c r="E102" s="12"/>
    </row>
    <row r="103" spans="4:5" x14ac:dyDescent="0.25">
      <c r="E103" s="12"/>
    </row>
    <row r="104" spans="4:5" x14ac:dyDescent="0.25">
      <c r="E104" s="12"/>
    </row>
    <row r="105" spans="4:5" x14ac:dyDescent="0.25">
      <c r="E105" s="12"/>
    </row>
    <row r="106" spans="4:5" x14ac:dyDescent="0.25">
      <c r="E106" s="12"/>
    </row>
    <row r="107" spans="4:5" x14ac:dyDescent="0.25">
      <c r="E107" s="12"/>
    </row>
    <row r="108" spans="4:5" x14ac:dyDescent="0.25">
      <c r="E108" s="12"/>
    </row>
    <row r="109" spans="4:5" x14ac:dyDescent="0.25">
      <c r="E109" s="12"/>
    </row>
    <row r="110" spans="4:5" x14ac:dyDescent="0.25">
      <c r="E110" s="12"/>
    </row>
    <row r="111" spans="4:5" x14ac:dyDescent="0.25">
      <c r="E111" s="12"/>
    </row>
    <row r="112" spans="4:5" x14ac:dyDescent="0.25">
      <c r="E112" s="12"/>
    </row>
    <row r="113" spans="4:5" x14ac:dyDescent="0.25">
      <c r="E113" s="12"/>
    </row>
    <row r="114" spans="4:5" x14ac:dyDescent="0.25">
      <c r="E114" s="12"/>
    </row>
    <row r="115" spans="4:5" x14ac:dyDescent="0.25">
      <c r="E115" s="12"/>
    </row>
    <row r="116" spans="4:5" x14ac:dyDescent="0.25">
      <c r="E116" s="12"/>
    </row>
    <row r="117" spans="4:5" x14ac:dyDescent="0.25">
      <c r="E117" s="12"/>
    </row>
    <row r="118" spans="4:5" x14ac:dyDescent="0.25">
      <c r="E118" s="12"/>
    </row>
    <row r="119" spans="4:5" x14ac:dyDescent="0.25">
      <c r="E119" s="12"/>
    </row>
    <row r="120" spans="4:5" x14ac:dyDescent="0.25">
      <c r="E120" s="12"/>
    </row>
    <row r="121" spans="4:5" x14ac:dyDescent="0.25">
      <c r="E121" s="12"/>
    </row>
    <row r="122" spans="4:5" x14ac:dyDescent="0.25">
      <c r="E122" s="12"/>
    </row>
    <row r="123" spans="4:5" x14ac:dyDescent="0.25">
      <c r="E123" s="12"/>
    </row>
    <row r="124" spans="4:5" x14ac:dyDescent="0.25">
      <c r="E124" s="12"/>
    </row>
    <row r="125" spans="4:5" x14ac:dyDescent="0.25">
      <c r="E125" s="12"/>
    </row>
    <row r="126" spans="4:5" x14ac:dyDescent="0.25">
      <c r="E126" s="12"/>
    </row>
    <row r="127" spans="4:5" x14ac:dyDescent="0.25">
      <c r="E127" s="12"/>
    </row>
    <row r="128" spans="4:5" x14ac:dyDescent="0.25">
      <c r="E128" s="12"/>
    </row>
    <row r="129" spans="4:5" x14ac:dyDescent="0.25">
      <c r="E129" s="12"/>
    </row>
    <row r="130" spans="4:5" x14ac:dyDescent="0.25">
      <c r="E130" s="12"/>
    </row>
    <row r="131" spans="4:5" x14ac:dyDescent="0.25">
      <c r="E131" s="12"/>
    </row>
    <row r="132" spans="4:5" x14ac:dyDescent="0.25">
      <c r="E132" s="12"/>
    </row>
    <row r="133" spans="4:5" x14ac:dyDescent="0.25">
      <c r="E133" s="12"/>
    </row>
    <row r="134" spans="4:5" x14ac:dyDescent="0.25">
      <c r="E134" s="12"/>
    </row>
    <row r="135" spans="4:5" x14ac:dyDescent="0.25">
      <c r="E135" s="12"/>
    </row>
    <row r="136" spans="4:5" x14ac:dyDescent="0.25">
      <c r="E136" s="12"/>
    </row>
    <row r="137" spans="4:5" x14ac:dyDescent="0.25">
      <c r="E137" s="12"/>
    </row>
    <row r="138" spans="4:5" x14ac:dyDescent="0.25">
      <c r="E138" s="12"/>
    </row>
    <row r="139" spans="4:5" x14ac:dyDescent="0.25">
      <c r="E139" s="12"/>
    </row>
    <row r="140" spans="4:5" x14ac:dyDescent="0.25">
      <c r="E140" s="12"/>
    </row>
    <row r="141" spans="4:5" x14ac:dyDescent="0.25">
      <c r="E141" s="12"/>
    </row>
    <row r="142" spans="4:5" x14ac:dyDescent="0.25">
      <c r="E142" s="12"/>
    </row>
    <row r="143" spans="4:5" x14ac:dyDescent="0.25">
      <c r="E143" s="12"/>
    </row>
    <row r="144" spans="4:5" x14ac:dyDescent="0.25">
      <c r="E144" s="12"/>
    </row>
    <row r="145" spans="4:5" x14ac:dyDescent="0.25">
      <c r="E145" s="12"/>
    </row>
    <row r="146" spans="4:5" x14ac:dyDescent="0.25">
      <c r="E146" s="12"/>
    </row>
    <row r="147" spans="4:5" x14ac:dyDescent="0.25">
      <c r="E147" s="12"/>
    </row>
    <row r="148" spans="4:5" x14ac:dyDescent="0.25">
      <c r="E148" s="12"/>
    </row>
    <row r="149" spans="4:5" x14ac:dyDescent="0.25">
      <c r="E149" s="12"/>
    </row>
    <row r="150" spans="4:5" x14ac:dyDescent="0.25">
      <c r="E150" s="12"/>
    </row>
    <row r="151" spans="4:5" x14ac:dyDescent="0.25">
      <c r="E151" s="12"/>
    </row>
    <row r="152" spans="4:5" x14ac:dyDescent="0.25">
      <c r="E152" s="12"/>
    </row>
    <row r="153" spans="4:5" x14ac:dyDescent="0.25">
      <c r="E153" s="12"/>
    </row>
    <row r="154" spans="4:5" x14ac:dyDescent="0.25">
      <c r="E154" s="12"/>
    </row>
    <row r="155" spans="4:5" x14ac:dyDescent="0.25">
      <c r="E155" s="12"/>
    </row>
    <row r="156" spans="4:5" x14ac:dyDescent="0.25">
      <c r="E156" s="12"/>
    </row>
    <row r="157" spans="4:5" x14ac:dyDescent="0.25">
      <c r="E157" s="12"/>
    </row>
    <row r="158" spans="4:5" x14ac:dyDescent="0.25">
      <c r="E158" s="12"/>
    </row>
    <row r="159" spans="4:5" x14ac:dyDescent="0.25">
      <c r="E159" s="12"/>
    </row>
    <row r="160" spans="4:5" x14ac:dyDescent="0.25">
      <c r="E160" s="12"/>
    </row>
    <row r="161" spans="4:5" x14ac:dyDescent="0.25">
      <c r="E161" s="12"/>
    </row>
    <row r="162" spans="4:5" x14ac:dyDescent="0.25">
      <c r="E162" s="12"/>
    </row>
    <row r="163" spans="4:5" x14ac:dyDescent="0.25">
      <c r="E163" s="12"/>
    </row>
    <row r="164" spans="4:5" x14ac:dyDescent="0.25">
      <c r="E164" s="12"/>
    </row>
    <row r="165" spans="4:5" x14ac:dyDescent="0.25">
      <c r="E165" s="12"/>
    </row>
    <row r="166" spans="4:5" x14ac:dyDescent="0.25">
      <c r="E166" s="12"/>
    </row>
    <row r="167" spans="4:5" x14ac:dyDescent="0.25">
      <c r="E167" s="12"/>
    </row>
    <row r="168" spans="4:5" x14ac:dyDescent="0.25">
      <c r="E168" s="12"/>
    </row>
    <row r="169" spans="4:5" x14ac:dyDescent="0.25">
      <c r="E169" s="12"/>
    </row>
    <row r="170" spans="4:5" x14ac:dyDescent="0.25">
      <c r="E170" s="12"/>
    </row>
    <row r="171" spans="4:5" x14ac:dyDescent="0.25">
      <c r="E171" s="12"/>
    </row>
    <row r="172" spans="4:5" x14ac:dyDescent="0.25">
      <c r="E172" s="12"/>
    </row>
    <row r="173" spans="4:5" x14ac:dyDescent="0.25">
      <c r="E173" s="12"/>
    </row>
    <row r="174" spans="4:5" x14ac:dyDescent="0.25">
      <c r="E174" s="12"/>
    </row>
    <row r="175" spans="4:5" x14ac:dyDescent="0.25">
      <c r="E175" s="12"/>
    </row>
    <row r="176" spans="4:5" x14ac:dyDescent="0.25">
      <c r="E176" s="12"/>
    </row>
    <row r="177" spans="4:5" x14ac:dyDescent="0.25">
      <c r="E177" s="12"/>
    </row>
    <row r="178" spans="4:5" x14ac:dyDescent="0.25">
      <c r="E178" s="12"/>
    </row>
    <row r="179" spans="4:5" x14ac:dyDescent="0.25">
      <c r="E179" s="12"/>
    </row>
    <row r="180" spans="4:5" x14ac:dyDescent="0.25">
      <c r="E180" s="12"/>
    </row>
    <row r="181" spans="4:5" x14ac:dyDescent="0.25">
      <c r="E181" s="12"/>
    </row>
    <row r="182" spans="4:5" x14ac:dyDescent="0.25">
      <c r="E182" s="12"/>
    </row>
    <row r="183" spans="4:5" x14ac:dyDescent="0.25">
      <c r="E183" s="12"/>
    </row>
    <row r="184" spans="4:5" x14ac:dyDescent="0.25">
      <c r="E184" s="12"/>
    </row>
    <row r="185" spans="4:5" x14ac:dyDescent="0.25">
      <c r="E185" s="12"/>
    </row>
    <row r="186" spans="4:5" x14ac:dyDescent="0.25">
      <c r="E186" s="12"/>
    </row>
    <row r="187" spans="4:5" x14ac:dyDescent="0.25">
      <c r="E187" s="12"/>
    </row>
    <row r="188" spans="4:5" x14ac:dyDescent="0.25">
      <c r="E188" s="12"/>
    </row>
    <row r="189" spans="4:5" x14ac:dyDescent="0.25">
      <c r="E189" s="12"/>
    </row>
    <row r="190" spans="4:5" x14ac:dyDescent="0.25">
      <c r="E190" s="12"/>
    </row>
    <row r="191" spans="4:5" x14ac:dyDescent="0.25">
      <c r="E191" s="12"/>
    </row>
    <row r="192" spans="4:5" x14ac:dyDescent="0.25">
      <c r="E192" s="12"/>
    </row>
    <row r="193" spans="4:5" x14ac:dyDescent="0.25">
      <c r="E193" s="12"/>
    </row>
    <row r="194" spans="4:5" x14ac:dyDescent="0.25">
      <c r="E194" s="12"/>
    </row>
    <row r="195" spans="4:5" x14ac:dyDescent="0.25">
      <c r="E195" s="12"/>
    </row>
    <row r="196" spans="4:5" x14ac:dyDescent="0.25">
      <c r="E196" s="12"/>
    </row>
    <row r="197" spans="4:5" x14ac:dyDescent="0.25">
      <c r="E197" s="12"/>
    </row>
    <row r="198" spans="4:5" x14ac:dyDescent="0.25">
      <c r="E198" s="12"/>
    </row>
    <row r="199" spans="4:5" x14ac:dyDescent="0.25">
      <c r="E199" s="12"/>
    </row>
    <row r="200" spans="4:5" x14ac:dyDescent="0.25">
      <c r="E200" s="12"/>
    </row>
    <row r="201" spans="4:5" x14ac:dyDescent="0.25">
      <c r="E201" s="12"/>
    </row>
    <row r="202" spans="4:5" x14ac:dyDescent="0.25">
      <c r="E202" s="12"/>
    </row>
    <row r="203" spans="4:5" x14ac:dyDescent="0.25">
      <c r="E203" s="12"/>
    </row>
    <row r="204" spans="4:5" x14ac:dyDescent="0.25">
      <c r="E204" s="12"/>
    </row>
    <row r="205" spans="4:5" x14ac:dyDescent="0.25">
      <c r="E205" s="12"/>
    </row>
    <row r="206" spans="4:5" x14ac:dyDescent="0.25">
      <c r="E206" s="12"/>
    </row>
    <row r="207" spans="4:5" x14ac:dyDescent="0.25">
      <c r="E207" s="12"/>
    </row>
    <row r="208" spans="4:5" x14ac:dyDescent="0.25">
      <c r="E208" s="12"/>
    </row>
    <row r="209" spans="4:5" x14ac:dyDescent="0.25">
      <c r="E209" s="12"/>
    </row>
    <row r="210" spans="4:5" x14ac:dyDescent="0.25">
      <c r="E210" s="12"/>
    </row>
    <row r="211" spans="4:5" x14ac:dyDescent="0.25">
      <c r="E211" s="12"/>
    </row>
    <row r="212" spans="4:5" x14ac:dyDescent="0.25">
      <c r="E212" s="12"/>
    </row>
    <row r="213" spans="4:5" x14ac:dyDescent="0.25">
      <c r="E213" s="12"/>
    </row>
    <row r="214" spans="4:5" x14ac:dyDescent="0.25">
      <c r="E214" s="12"/>
    </row>
    <row r="215" spans="4:5" x14ac:dyDescent="0.25">
      <c r="E215" s="12"/>
    </row>
    <row r="216" spans="4:5" x14ac:dyDescent="0.25">
      <c r="E216" s="12"/>
    </row>
    <row r="217" spans="4:5" x14ac:dyDescent="0.25">
      <c r="E217" s="12"/>
    </row>
    <row r="218" spans="4:5" x14ac:dyDescent="0.25">
      <c r="E218" s="12"/>
    </row>
    <row r="219" spans="4:5" x14ac:dyDescent="0.25">
      <c r="E219" s="12"/>
    </row>
    <row r="220" spans="4:5" x14ac:dyDescent="0.25">
      <c r="E220" s="12"/>
    </row>
    <row r="221" spans="4:5" x14ac:dyDescent="0.25">
      <c r="E221" s="12"/>
    </row>
    <row r="222" spans="4:5" x14ac:dyDescent="0.25">
      <c r="E222" s="12"/>
    </row>
    <row r="223" spans="4:5" x14ac:dyDescent="0.25">
      <c r="E223" s="12"/>
    </row>
    <row r="224" spans="4:5" x14ac:dyDescent="0.25">
      <c r="E224" s="12"/>
    </row>
    <row r="225" spans="4:5" x14ac:dyDescent="0.25">
      <c r="E225" s="12"/>
    </row>
    <row r="226" spans="4:5" x14ac:dyDescent="0.25">
      <c r="E226" s="12"/>
    </row>
    <row r="227" spans="4:5" x14ac:dyDescent="0.25">
      <c r="E227" s="12"/>
    </row>
    <row r="228" spans="4:5" x14ac:dyDescent="0.25">
      <c r="E228" s="12"/>
    </row>
    <row r="229" spans="4:5" x14ac:dyDescent="0.25">
      <c r="E229" s="12"/>
    </row>
    <row r="230" spans="4:5" x14ac:dyDescent="0.25">
      <c r="E230" s="12"/>
    </row>
    <row r="231" spans="4:5" x14ac:dyDescent="0.25">
      <c r="E231" s="12"/>
    </row>
    <row r="232" spans="4:5" x14ac:dyDescent="0.25">
      <c r="E232" s="12"/>
    </row>
    <row r="233" spans="4:5" x14ac:dyDescent="0.25">
      <c r="E233" s="12"/>
    </row>
    <row r="234" spans="4:5" x14ac:dyDescent="0.25">
      <c r="E234" s="12"/>
    </row>
    <row r="235" spans="4:5" x14ac:dyDescent="0.25">
      <c r="E235" s="12"/>
    </row>
    <row r="236" spans="4:5" x14ac:dyDescent="0.25">
      <c r="E236" s="12"/>
    </row>
    <row r="237" spans="4:5" x14ac:dyDescent="0.25">
      <c r="E237" s="12"/>
    </row>
    <row r="238" spans="4:5" x14ac:dyDescent="0.25">
      <c r="E238" s="12"/>
    </row>
    <row r="239" spans="4:5" x14ac:dyDescent="0.25">
      <c r="E239" s="12"/>
    </row>
    <row r="240" spans="4:5" x14ac:dyDescent="0.25">
      <c r="E240" s="12"/>
    </row>
    <row r="241" spans="4:5" x14ac:dyDescent="0.25">
      <c r="E241" s="12"/>
    </row>
    <row r="242" spans="4:5" x14ac:dyDescent="0.25">
      <c r="E242" s="12"/>
    </row>
    <row r="243" spans="4:5" x14ac:dyDescent="0.25">
      <c r="E243" s="12"/>
    </row>
    <row r="244" spans="4:5" x14ac:dyDescent="0.25">
      <c r="E244" s="12"/>
    </row>
    <row r="245" spans="4:5" x14ac:dyDescent="0.25">
      <c r="E245" s="12"/>
    </row>
    <row r="246" spans="4:5" x14ac:dyDescent="0.25">
      <c r="E246" s="12"/>
    </row>
    <row r="247" spans="4:5" x14ac:dyDescent="0.25">
      <c r="E247" s="12"/>
    </row>
    <row r="248" spans="4:5" x14ac:dyDescent="0.25">
      <c r="E248" s="12"/>
    </row>
    <row r="249" spans="4:5" x14ac:dyDescent="0.25">
      <c r="E249" s="12"/>
    </row>
    <row r="250" spans="4:5" x14ac:dyDescent="0.25">
      <c r="E250" s="12"/>
    </row>
    <row r="251" spans="4:5" x14ac:dyDescent="0.25">
      <c r="E251" s="12"/>
    </row>
    <row r="252" spans="4:5" x14ac:dyDescent="0.25">
      <c r="E252" s="12"/>
    </row>
    <row r="253" spans="4:5" x14ac:dyDescent="0.25">
      <c r="E253" s="12"/>
    </row>
    <row r="254" spans="4:5" x14ac:dyDescent="0.25">
      <c r="E254" s="12"/>
    </row>
    <row r="255" spans="4:5" x14ac:dyDescent="0.25">
      <c r="E255" s="12"/>
    </row>
    <row r="256" spans="4:5" x14ac:dyDescent="0.25">
      <c r="E256" s="12"/>
    </row>
    <row r="257" spans="4:5" x14ac:dyDescent="0.25">
      <c r="E257" s="12"/>
    </row>
    <row r="258" spans="4:5" x14ac:dyDescent="0.25">
      <c r="E258" s="12"/>
    </row>
    <row r="259" spans="4:5" x14ac:dyDescent="0.25">
      <c r="E259" s="12"/>
    </row>
    <row r="260" spans="4:5" x14ac:dyDescent="0.25">
      <c r="E260" s="12"/>
    </row>
    <row r="261" spans="4:5" x14ac:dyDescent="0.25">
      <c r="E261" s="12"/>
    </row>
    <row r="262" spans="4:5" x14ac:dyDescent="0.25">
      <c r="E262" s="12"/>
    </row>
    <row r="263" spans="4:5" x14ac:dyDescent="0.25">
      <c r="E263" s="12"/>
    </row>
    <row r="264" spans="4:5" x14ac:dyDescent="0.25">
      <c r="E264" s="12"/>
    </row>
    <row r="265" spans="4:5" x14ac:dyDescent="0.25">
      <c r="E265" s="12"/>
    </row>
    <row r="266" spans="4:5" x14ac:dyDescent="0.25">
      <c r="E266" s="12"/>
    </row>
    <row r="267" spans="4:5" x14ac:dyDescent="0.25">
      <c r="E267" s="12"/>
    </row>
    <row r="268" spans="4:5" x14ac:dyDescent="0.25">
      <c r="E268" s="12"/>
    </row>
    <row r="269" spans="4:5" x14ac:dyDescent="0.25">
      <c r="E269" s="12"/>
    </row>
    <row r="270" spans="4:5" x14ac:dyDescent="0.25">
      <c r="E270" s="12"/>
    </row>
    <row r="271" spans="4:5" x14ac:dyDescent="0.25">
      <c r="E271" s="12"/>
    </row>
    <row r="272" spans="4:5" x14ac:dyDescent="0.25">
      <c r="E272" s="12"/>
    </row>
    <row r="273" spans="4:5" x14ac:dyDescent="0.25">
      <c r="E273" s="12"/>
    </row>
    <row r="274" spans="4:5" x14ac:dyDescent="0.25">
      <c r="E274" s="12"/>
    </row>
    <row r="275" spans="4:5" x14ac:dyDescent="0.25">
      <c r="E275" s="12"/>
    </row>
    <row r="276" spans="4:5" x14ac:dyDescent="0.25">
      <c r="E276" s="12"/>
    </row>
    <row r="277" spans="4:5" x14ac:dyDescent="0.25">
      <c r="E277" s="12"/>
    </row>
    <row r="278" spans="4:5" x14ac:dyDescent="0.25">
      <c r="E278" s="12"/>
    </row>
    <row r="279" spans="4:5" x14ac:dyDescent="0.25">
      <c r="E279" s="12"/>
    </row>
    <row r="280" spans="4:5" x14ac:dyDescent="0.25">
      <c r="E280" s="12"/>
    </row>
    <row r="281" spans="4:5" x14ac:dyDescent="0.25">
      <c r="E281" s="12"/>
    </row>
    <row r="282" spans="4:5" x14ac:dyDescent="0.25">
      <c r="E282" s="12"/>
    </row>
    <row r="283" spans="4:5" x14ac:dyDescent="0.25">
      <c r="E283" s="12"/>
    </row>
    <row r="284" spans="4:5" x14ac:dyDescent="0.25">
      <c r="E284" s="12"/>
    </row>
    <row r="285" spans="4:5" x14ac:dyDescent="0.25">
      <c r="E285" s="12"/>
    </row>
    <row r="286" spans="4:5" x14ac:dyDescent="0.25">
      <c r="E286" s="12"/>
    </row>
    <row r="287" spans="4:5" x14ac:dyDescent="0.25">
      <c r="E287" s="12"/>
    </row>
    <row r="288" spans="4:5" x14ac:dyDescent="0.25">
      <c r="E288" s="12"/>
    </row>
    <row r="289" spans="4:5" x14ac:dyDescent="0.25">
      <c r="E289" s="12"/>
    </row>
    <row r="290" spans="4:5" x14ac:dyDescent="0.25">
      <c r="E290" s="12"/>
    </row>
    <row r="291" spans="4:5" x14ac:dyDescent="0.25">
      <c r="E291" s="12"/>
    </row>
    <row r="292" spans="4:5" x14ac:dyDescent="0.25">
      <c r="E292" s="12"/>
    </row>
    <row r="293" spans="4:5" x14ac:dyDescent="0.25">
      <c r="E293" s="12"/>
    </row>
    <row r="294" spans="4:5" x14ac:dyDescent="0.25">
      <c r="E294" s="12"/>
    </row>
    <row r="295" spans="4:5" x14ac:dyDescent="0.25">
      <c r="E295" s="12"/>
    </row>
    <row r="296" spans="4:5" x14ac:dyDescent="0.25">
      <c r="E296" s="12"/>
    </row>
    <row r="297" spans="4:5" x14ac:dyDescent="0.25">
      <c r="E297" s="12"/>
    </row>
    <row r="298" spans="4:5" x14ac:dyDescent="0.25">
      <c r="E298" s="12"/>
    </row>
    <row r="299" spans="4:5" x14ac:dyDescent="0.25">
      <c r="E299" s="12"/>
    </row>
    <row r="300" spans="4:5" x14ac:dyDescent="0.25">
      <c r="E300" s="12"/>
    </row>
    <row r="301" spans="4:5" x14ac:dyDescent="0.25">
      <c r="E301" s="12"/>
    </row>
    <row r="302" spans="4:5" x14ac:dyDescent="0.25">
      <c r="E302" s="12"/>
    </row>
    <row r="303" spans="4:5" x14ac:dyDescent="0.25">
      <c r="E303" s="12"/>
    </row>
    <row r="304" spans="4:5" x14ac:dyDescent="0.25">
      <c r="E304" s="12"/>
    </row>
    <row r="305" spans="4:5" x14ac:dyDescent="0.25">
      <c r="E305" s="12"/>
    </row>
    <row r="306" spans="4:5" x14ac:dyDescent="0.25">
      <c r="E306" s="12"/>
    </row>
    <row r="307" spans="4:5" x14ac:dyDescent="0.25">
      <c r="E307" s="12"/>
    </row>
    <row r="308" spans="4:5" x14ac:dyDescent="0.25">
      <c r="E308" s="12"/>
    </row>
    <row r="309" spans="4:5" x14ac:dyDescent="0.25">
      <c r="E309" s="12"/>
    </row>
    <row r="310" spans="4:5" x14ac:dyDescent="0.25">
      <c r="E310" s="12"/>
    </row>
    <row r="311" spans="4:5" x14ac:dyDescent="0.25">
      <c r="E311" s="12"/>
    </row>
    <row r="312" spans="4:5" x14ac:dyDescent="0.25">
      <c r="E312" s="12"/>
    </row>
    <row r="313" spans="4:5" x14ac:dyDescent="0.25">
      <c r="E313" s="12"/>
    </row>
    <row r="314" spans="4:5" x14ac:dyDescent="0.25">
      <c r="E314" s="12"/>
    </row>
    <row r="315" spans="4:5" x14ac:dyDescent="0.25">
      <c r="E315" s="12"/>
    </row>
    <row r="316" spans="4:5" x14ac:dyDescent="0.25">
      <c r="E316" s="12"/>
    </row>
    <row r="317" spans="4:5" x14ac:dyDescent="0.25">
      <c r="E317" s="12"/>
    </row>
    <row r="318" spans="4:5" x14ac:dyDescent="0.25">
      <c r="E318" s="12"/>
    </row>
    <row r="319" spans="4:5" x14ac:dyDescent="0.25">
      <c r="E319" s="12"/>
    </row>
    <row r="320" spans="4:5" x14ac:dyDescent="0.25">
      <c r="E320" s="12"/>
    </row>
    <row r="321" spans="4:5" x14ac:dyDescent="0.25">
      <c r="E321" s="12"/>
    </row>
    <row r="322" spans="4:5" x14ac:dyDescent="0.25">
      <c r="E322" s="12"/>
    </row>
    <row r="323" spans="4:5" x14ac:dyDescent="0.25">
      <c r="E323" s="12"/>
    </row>
    <row r="324" spans="4:5" x14ac:dyDescent="0.25">
      <c r="E324" s="12"/>
    </row>
    <row r="325" spans="4:5" x14ac:dyDescent="0.25">
      <c r="E325" s="12"/>
    </row>
    <row r="326" spans="4:5" x14ac:dyDescent="0.25">
      <c r="E326" s="12"/>
    </row>
    <row r="327" spans="4:5" x14ac:dyDescent="0.25">
      <c r="E327" s="12"/>
    </row>
    <row r="328" spans="4:5" x14ac:dyDescent="0.25">
      <c r="E328" s="12"/>
    </row>
    <row r="329" spans="4:5" x14ac:dyDescent="0.25">
      <c r="E329" s="12"/>
    </row>
    <row r="330" spans="4:5" x14ac:dyDescent="0.25">
      <c r="E330" s="12"/>
    </row>
    <row r="331" spans="4:5" x14ac:dyDescent="0.25">
      <c r="E331" s="12"/>
    </row>
    <row r="332" spans="4:5" x14ac:dyDescent="0.25">
      <c r="E332" s="12"/>
    </row>
    <row r="333" spans="4:5" x14ac:dyDescent="0.25">
      <c r="E333" s="12"/>
    </row>
    <row r="334" spans="4:5" x14ac:dyDescent="0.25">
      <c r="E334" s="12"/>
    </row>
    <row r="335" spans="4:5" x14ac:dyDescent="0.25">
      <c r="E335" s="12"/>
    </row>
    <row r="336" spans="4:5" x14ac:dyDescent="0.25">
      <c r="E336" s="12"/>
    </row>
    <row r="337" spans="4:5" x14ac:dyDescent="0.25">
      <c r="E337" s="12"/>
    </row>
    <row r="338" spans="4:5" x14ac:dyDescent="0.25">
      <c r="E338" s="12"/>
    </row>
    <row r="339" spans="4:5" x14ac:dyDescent="0.25">
      <c r="E339" s="12"/>
    </row>
    <row r="340" spans="4:5" x14ac:dyDescent="0.25">
      <c r="E340" s="12"/>
    </row>
    <row r="341" spans="4:5" x14ac:dyDescent="0.25">
      <c r="E341" s="12"/>
    </row>
    <row r="342" spans="4:5" x14ac:dyDescent="0.25">
      <c r="E342" s="12"/>
    </row>
    <row r="343" spans="4:5" x14ac:dyDescent="0.25">
      <c r="E343" s="12"/>
    </row>
    <row r="344" spans="4:5" x14ac:dyDescent="0.25">
      <c r="E344" s="12"/>
    </row>
    <row r="345" spans="4:5" x14ac:dyDescent="0.25">
      <c r="E345" s="12"/>
    </row>
    <row r="346" spans="4:5" x14ac:dyDescent="0.25">
      <c r="E346" s="12"/>
    </row>
    <row r="347" spans="4:5" x14ac:dyDescent="0.25">
      <c r="E347" s="12"/>
    </row>
    <row r="348" spans="4:5" x14ac:dyDescent="0.25">
      <c r="E348" s="12"/>
    </row>
    <row r="349" spans="4:5" x14ac:dyDescent="0.25">
      <c r="E349" s="12"/>
    </row>
    <row r="350" spans="4:5" x14ac:dyDescent="0.25">
      <c r="E350" s="12"/>
    </row>
    <row r="351" spans="4:5" x14ac:dyDescent="0.25">
      <c r="E351" s="12"/>
    </row>
    <row r="352" spans="4:5" x14ac:dyDescent="0.25">
      <c r="E352" s="12"/>
    </row>
    <row r="353" spans="4:5" x14ac:dyDescent="0.25">
      <c r="E353" s="12"/>
    </row>
    <row r="354" spans="4:5" x14ac:dyDescent="0.25">
      <c r="E354" s="12"/>
    </row>
    <row r="355" spans="4:5" x14ac:dyDescent="0.25">
      <c r="E355" s="12"/>
    </row>
    <row r="356" spans="4:5" x14ac:dyDescent="0.25">
      <c r="E356" s="12"/>
    </row>
    <row r="357" spans="4:5" x14ac:dyDescent="0.25">
      <c r="E357" s="12"/>
    </row>
    <row r="358" spans="4:5" x14ac:dyDescent="0.25">
      <c r="E358" s="12"/>
    </row>
    <row r="359" spans="4:5" x14ac:dyDescent="0.25">
      <c r="E359" s="12"/>
    </row>
    <row r="360" spans="4:5" x14ac:dyDescent="0.25">
      <c r="E360" s="12"/>
    </row>
    <row r="361" spans="4:5" x14ac:dyDescent="0.25">
      <c r="E361" s="12"/>
    </row>
    <row r="362" spans="4:5" x14ac:dyDescent="0.25">
      <c r="E362" s="12"/>
    </row>
    <row r="363" spans="4:5" x14ac:dyDescent="0.25">
      <c r="E363" s="12"/>
    </row>
    <row r="364" spans="4:5" x14ac:dyDescent="0.25">
      <c r="E364" s="12"/>
    </row>
    <row r="365" spans="4:5" x14ac:dyDescent="0.25">
      <c r="E365" s="12"/>
    </row>
    <row r="366" spans="4:5" x14ac:dyDescent="0.25">
      <c r="E366" s="12"/>
    </row>
    <row r="367" spans="4:5" x14ac:dyDescent="0.25">
      <c r="E367" s="12"/>
    </row>
    <row r="368" spans="4:5" x14ac:dyDescent="0.25">
      <c r="E368" s="12"/>
    </row>
    <row r="369" spans="4:5" x14ac:dyDescent="0.25">
      <c r="E369" s="12"/>
    </row>
    <row r="370" spans="4:5" x14ac:dyDescent="0.25">
      <c r="E370" s="12"/>
    </row>
    <row r="371" spans="4:5" x14ac:dyDescent="0.25">
      <c r="E371" s="12"/>
    </row>
    <row r="372" spans="4:5" x14ac:dyDescent="0.25">
      <c r="E372" s="12"/>
    </row>
    <row r="373" spans="4:5" x14ac:dyDescent="0.25">
      <c r="E373" s="12"/>
    </row>
    <row r="374" spans="4:5" x14ac:dyDescent="0.25">
      <c r="E374" s="12"/>
    </row>
    <row r="375" spans="4:5" x14ac:dyDescent="0.25">
      <c r="E375" s="12"/>
    </row>
    <row r="376" spans="4:5" x14ac:dyDescent="0.25">
      <c r="E376" s="12"/>
    </row>
    <row r="377" spans="4:5" x14ac:dyDescent="0.25">
      <c r="E377" s="12"/>
    </row>
    <row r="378" spans="4:5" x14ac:dyDescent="0.25">
      <c r="E378" s="12"/>
    </row>
    <row r="379" spans="4:5" x14ac:dyDescent="0.25">
      <c r="E379" s="12"/>
    </row>
    <row r="380" spans="4:5" x14ac:dyDescent="0.25">
      <c r="E380" s="12"/>
    </row>
    <row r="381" spans="4:5" x14ac:dyDescent="0.25">
      <c r="E381" s="12"/>
    </row>
    <row r="382" spans="4:5" x14ac:dyDescent="0.25">
      <c r="E382" s="12"/>
    </row>
    <row r="383" spans="4:5" x14ac:dyDescent="0.25">
      <c r="E383" s="12"/>
    </row>
    <row r="384" spans="4:5" x14ac:dyDescent="0.25">
      <c r="E384" s="12"/>
    </row>
    <row r="385" spans="4:5" x14ac:dyDescent="0.25">
      <c r="E385" s="12"/>
    </row>
    <row r="386" spans="4:5" x14ac:dyDescent="0.25">
      <c r="E386" s="12"/>
    </row>
    <row r="387" spans="4:5" x14ac:dyDescent="0.25">
      <c r="E387" s="12"/>
    </row>
    <row r="388" spans="4:5" x14ac:dyDescent="0.25">
      <c r="E388" s="12"/>
    </row>
    <row r="389" spans="4:5" x14ac:dyDescent="0.25">
      <c r="E389" s="12"/>
    </row>
    <row r="390" spans="4:5" x14ac:dyDescent="0.25">
      <c r="E390" s="12"/>
    </row>
    <row r="391" spans="4:5" x14ac:dyDescent="0.25">
      <c r="E391" s="12"/>
    </row>
    <row r="392" spans="4:5" x14ac:dyDescent="0.25">
      <c r="E392" s="12"/>
    </row>
    <row r="393" spans="4:5" x14ac:dyDescent="0.25">
      <c r="E393" s="12"/>
    </row>
    <row r="394" spans="4:5" x14ac:dyDescent="0.25">
      <c r="E394" s="12"/>
    </row>
    <row r="395" spans="4:5" x14ac:dyDescent="0.25">
      <c r="E395" s="12"/>
    </row>
    <row r="396" spans="4:5" x14ac:dyDescent="0.25">
      <c r="E396" s="12"/>
    </row>
    <row r="397" spans="4:5" x14ac:dyDescent="0.25">
      <c r="E397" s="12"/>
    </row>
    <row r="398" spans="4:5" x14ac:dyDescent="0.25">
      <c r="E398" s="12"/>
    </row>
    <row r="399" spans="4:5" x14ac:dyDescent="0.25">
      <c r="E399" s="12"/>
    </row>
    <row r="400" spans="4:5" x14ac:dyDescent="0.25">
      <c r="E400" s="12"/>
    </row>
    <row r="401" spans="4:5" x14ac:dyDescent="0.25">
      <c r="E401" s="12"/>
    </row>
    <row r="402" spans="4:5" x14ac:dyDescent="0.25">
      <c r="E402" s="12"/>
    </row>
    <row r="403" spans="4:5" x14ac:dyDescent="0.25">
      <c r="E403" s="12"/>
    </row>
    <row r="404" spans="4:5" x14ac:dyDescent="0.25">
      <c r="E404" s="12"/>
    </row>
    <row r="405" spans="4:5" x14ac:dyDescent="0.25">
      <c r="E405" s="12"/>
    </row>
    <row r="406" spans="4:5" x14ac:dyDescent="0.25">
      <c r="E406" s="12"/>
    </row>
    <row r="407" spans="4:5" x14ac:dyDescent="0.25">
      <c r="E407" s="12"/>
    </row>
    <row r="408" spans="4:5" x14ac:dyDescent="0.25">
      <c r="E408" s="12"/>
    </row>
    <row r="409" spans="4:5" x14ac:dyDescent="0.25">
      <c r="E409" s="12"/>
    </row>
    <row r="410" spans="4:5" x14ac:dyDescent="0.25">
      <c r="E410" s="12"/>
    </row>
    <row r="411" spans="4:5" x14ac:dyDescent="0.25">
      <c r="E411" s="12"/>
    </row>
    <row r="412" spans="4:5" x14ac:dyDescent="0.25">
      <c r="E412" s="12"/>
    </row>
    <row r="413" spans="4:5" x14ac:dyDescent="0.25">
      <c r="E413" s="12"/>
    </row>
    <row r="414" spans="4:5" x14ac:dyDescent="0.25">
      <c r="E414" s="12"/>
    </row>
    <row r="415" spans="4:5" x14ac:dyDescent="0.25">
      <c r="E415" s="12"/>
    </row>
    <row r="416" spans="4:5" x14ac:dyDescent="0.25">
      <c r="E416" s="12"/>
    </row>
    <row r="417" spans="4:5" x14ac:dyDescent="0.25">
      <c r="E417" s="12"/>
    </row>
    <row r="418" spans="4:5" x14ac:dyDescent="0.25">
      <c r="E418" s="12"/>
    </row>
    <row r="419" spans="4:5" x14ac:dyDescent="0.25">
      <c r="E419" s="12"/>
    </row>
    <row r="420" spans="4:5" x14ac:dyDescent="0.25">
      <c r="E420" s="12"/>
    </row>
    <row r="421" spans="4:5" x14ac:dyDescent="0.25">
      <c r="E421" s="12"/>
    </row>
    <row r="422" spans="4:5" x14ac:dyDescent="0.25">
      <c r="E422" s="12"/>
    </row>
    <row r="423" spans="4:5" x14ac:dyDescent="0.25">
      <c r="E423" s="12"/>
    </row>
    <row r="424" spans="4:5" x14ac:dyDescent="0.25">
      <c r="E424" s="12"/>
    </row>
    <row r="425" spans="4:5" x14ac:dyDescent="0.25">
      <c r="E425" s="12"/>
    </row>
    <row r="426" spans="4:5" x14ac:dyDescent="0.25">
      <c r="E426" s="12"/>
    </row>
    <row r="427" spans="4:5" x14ac:dyDescent="0.25">
      <c r="E427" s="12"/>
    </row>
    <row r="428" spans="4:5" x14ac:dyDescent="0.25">
      <c r="E428" s="12"/>
    </row>
    <row r="429" spans="4:5" x14ac:dyDescent="0.25">
      <c r="E429" s="12"/>
    </row>
    <row r="430" spans="4:5" x14ac:dyDescent="0.25">
      <c r="E430" s="12"/>
    </row>
    <row r="431" spans="4:5" x14ac:dyDescent="0.25">
      <c r="E431" s="12"/>
    </row>
    <row r="432" spans="4:5" x14ac:dyDescent="0.25">
      <c r="E432" s="12"/>
    </row>
    <row r="433" spans="4:5" x14ac:dyDescent="0.25">
      <c r="E433" s="12"/>
    </row>
    <row r="434" spans="4:5" x14ac:dyDescent="0.25">
      <c r="E434" s="12"/>
    </row>
    <row r="435" spans="4:5" x14ac:dyDescent="0.25">
      <c r="E435" s="12"/>
    </row>
    <row r="436" spans="4:5" x14ac:dyDescent="0.25">
      <c r="E436" s="12"/>
    </row>
    <row r="437" spans="4:5" x14ac:dyDescent="0.25">
      <c r="E437" s="12"/>
    </row>
    <row r="438" spans="4:5" x14ac:dyDescent="0.25">
      <c r="E438" s="12"/>
    </row>
    <row r="439" spans="4:5" x14ac:dyDescent="0.25">
      <c r="E439" s="12"/>
    </row>
    <row r="440" spans="4:5" x14ac:dyDescent="0.25">
      <c r="E440" s="12"/>
    </row>
    <row r="441" spans="4:5" x14ac:dyDescent="0.25">
      <c r="E441" s="12"/>
    </row>
    <row r="442" spans="4:5" x14ac:dyDescent="0.25">
      <c r="E442" s="12"/>
    </row>
    <row r="443" spans="4:5" x14ac:dyDescent="0.25">
      <c r="E443" s="12"/>
    </row>
    <row r="444" spans="4:5" x14ac:dyDescent="0.25">
      <c r="E444" s="12"/>
    </row>
    <row r="445" spans="4:5" x14ac:dyDescent="0.25">
      <c r="E445" s="12"/>
    </row>
    <row r="446" spans="4:5" x14ac:dyDescent="0.25">
      <c r="E446" s="12"/>
    </row>
    <row r="447" spans="4:5" x14ac:dyDescent="0.25">
      <c r="E447" s="12"/>
    </row>
    <row r="448" spans="4:5" x14ac:dyDescent="0.25">
      <c r="E448" s="12"/>
    </row>
    <row r="449" spans="4:5" x14ac:dyDescent="0.25">
      <c r="E449" s="12"/>
    </row>
    <row r="450" spans="4:5" x14ac:dyDescent="0.25">
      <c r="E450" s="12"/>
    </row>
    <row r="451" spans="4:5" x14ac:dyDescent="0.25">
      <c r="E451" s="12"/>
    </row>
    <row r="452" spans="4:5" x14ac:dyDescent="0.25">
      <c r="E452" s="12"/>
    </row>
    <row r="453" spans="4:5" x14ac:dyDescent="0.25">
      <c r="E453" s="12"/>
    </row>
    <row r="454" spans="4:5" x14ac:dyDescent="0.25">
      <c r="E454" s="12"/>
    </row>
    <row r="455" spans="4:5" x14ac:dyDescent="0.25">
      <c r="E455" s="12"/>
    </row>
    <row r="456" spans="4:5" x14ac:dyDescent="0.25">
      <c r="E456" s="12"/>
    </row>
    <row r="457" spans="4:5" x14ac:dyDescent="0.25">
      <c r="E457" s="12"/>
    </row>
    <row r="458" spans="4:5" x14ac:dyDescent="0.25">
      <c r="E458" s="12"/>
    </row>
    <row r="459" spans="4:5" x14ac:dyDescent="0.25">
      <c r="E459" s="12"/>
    </row>
    <row r="460" spans="4:5" x14ac:dyDescent="0.25">
      <c r="E460" s="12"/>
    </row>
    <row r="461" spans="4:5" x14ac:dyDescent="0.25">
      <c r="E461" s="12"/>
    </row>
    <row r="462" spans="4:5" x14ac:dyDescent="0.25">
      <c r="E462" s="12"/>
    </row>
    <row r="463" spans="4:5" x14ac:dyDescent="0.25">
      <c r="E463" s="12"/>
    </row>
    <row r="464" spans="4:5" x14ac:dyDescent="0.25">
      <c r="E464" s="12"/>
    </row>
    <row r="465" spans="4:5" x14ac:dyDescent="0.25">
      <c r="E465" s="12"/>
    </row>
    <row r="466" spans="4:5" x14ac:dyDescent="0.25">
      <c r="E466" s="12"/>
    </row>
    <row r="467" spans="4:5" x14ac:dyDescent="0.25">
      <c r="E467" s="12"/>
    </row>
    <row r="468" spans="4:5" x14ac:dyDescent="0.25">
      <c r="E468" s="12"/>
    </row>
    <row r="469" spans="4:5" x14ac:dyDescent="0.25">
      <c r="E469" s="12"/>
    </row>
    <row r="470" spans="4:5" x14ac:dyDescent="0.25">
      <c r="E470" s="12"/>
    </row>
    <row r="471" spans="4:5" x14ac:dyDescent="0.25">
      <c r="E471" s="12"/>
    </row>
    <row r="472" spans="4:5" x14ac:dyDescent="0.25">
      <c r="E472" s="12"/>
    </row>
    <row r="473" spans="4:5" x14ac:dyDescent="0.25">
      <c r="E473" s="12"/>
    </row>
    <row r="474" spans="4:5" x14ac:dyDescent="0.25">
      <c r="E474" s="12"/>
    </row>
    <row r="475" spans="4:5" x14ac:dyDescent="0.25">
      <c r="E475" s="12"/>
    </row>
    <row r="476" spans="4:5" x14ac:dyDescent="0.25">
      <c r="E476" s="12"/>
    </row>
    <row r="477" spans="4:5" x14ac:dyDescent="0.25">
      <c r="E477" s="12"/>
    </row>
    <row r="478" spans="4:5" x14ac:dyDescent="0.25">
      <c r="E478" s="12"/>
    </row>
    <row r="479" spans="4:5" x14ac:dyDescent="0.25">
      <c r="E479" s="12"/>
    </row>
    <row r="480" spans="4:5" x14ac:dyDescent="0.25">
      <c r="E480" s="12"/>
    </row>
    <row r="481" spans="4:5" x14ac:dyDescent="0.25">
      <c r="E481" s="12"/>
    </row>
    <row r="482" spans="4:5" x14ac:dyDescent="0.25">
      <c r="E482" s="12"/>
    </row>
    <row r="483" spans="4:5" x14ac:dyDescent="0.25">
      <c r="E483" s="12"/>
    </row>
    <row r="484" spans="4:5" x14ac:dyDescent="0.25">
      <c r="E484" s="12"/>
    </row>
    <row r="485" spans="4:5" x14ac:dyDescent="0.25">
      <c r="E485" s="12"/>
    </row>
    <row r="486" spans="4:5" x14ac:dyDescent="0.25">
      <c r="E486" s="12"/>
    </row>
    <row r="487" spans="4:5" x14ac:dyDescent="0.25">
      <c r="E487" s="12"/>
    </row>
    <row r="488" spans="4:5" x14ac:dyDescent="0.25">
      <c r="E488" s="12"/>
    </row>
    <row r="489" spans="4:5" x14ac:dyDescent="0.25">
      <c r="E489" s="12"/>
    </row>
    <row r="490" spans="4:5" x14ac:dyDescent="0.25">
      <c r="E490" s="12"/>
    </row>
    <row r="491" spans="4:5" x14ac:dyDescent="0.25">
      <c r="E491" s="12"/>
    </row>
    <row r="492" spans="4:5" x14ac:dyDescent="0.25">
      <c r="E492" s="12"/>
    </row>
    <row r="493" spans="4:5" x14ac:dyDescent="0.25">
      <c r="E493" s="12"/>
    </row>
    <row r="494" spans="4:5" x14ac:dyDescent="0.25">
      <c r="E494" s="12"/>
    </row>
    <row r="495" spans="4:5" x14ac:dyDescent="0.25">
      <c r="E495" s="12"/>
    </row>
    <row r="496" spans="4:5" x14ac:dyDescent="0.25">
      <c r="E496" s="12"/>
    </row>
    <row r="497" spans="4:5" x14ac:dyDescent="0.25">
      <c r="E497" s="12"/>
    </row>
    <row r="498" spans="4:5" x14ac:dyDescent="0.25">
      <c r="E498" s="12"/>
    </row>
    <row r="499" spans="4:5" x14ac:dyDescent="0.25">
      <c r="E499" s="12"/>
    </row>
    <row r="500" spans="4:5" x14ac:dyDescent="0.25">
      <c r="E500" s="12"/>
    </row>
  </sheetData>
  <conditionalFormatting sqref="C2:E500">
    <cfRule type="expression" dxfId="0" priority="1">
      <formula>OR(AND(LEN($A2)&gt;0,LEN($A2)-LEN(SUBSTITUTE($A2,".",""))=0),AND(LEN($A2)&gt;0,LEN($A2)-LEN(SUBSTITUTE($A2,".",""))=1),AND(LEN($A2)&gt;0,LEN($A2)-LEN(SUBSTITUTE($A2,".",""))=2,LEN($E2)=0))</formula>
    </cfRule>
  </conditionalFormatting>
  <conditionalFormatting sqref="A2:E500">
    <cfRule type="expression" dxfId="1" priority="2">
      <formula>AND(LEN($A2)&gt;0,LEN($A2)-LEN(SUBSTITUTE($A2,".",""))=0)</formula>
    </cfRule>
    <cfRule type="expression" dxfId="2" priority="3">
      <formula>AND(LEN($A2)&gt;0,LEN($A2)-LEN(SUBSTITUTE($A2,".",""))=1)</formula>
    </cfRule>
    <cfRule type="expression" dxfId="3" priority="4">
      <formula>AND(LEN($A2)&gt;0,LEN($A2)-LEN(SUBSTITUTE($A2,".",""))=2,LEN($E2)=0)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2" customWidth="1"/>
    <col min="3" max="4" width="10" customWidth="1"/>
    <col min="5" max="5" width="18" customWidth="1"/>
  </cols>
  <sheetData>
    <row r="1" spans="1:5" s="3" customFormat="1" x14ac:dyDescent="0.25">
      <c r="A1" s="8" t="s">
        <v>59</v>
      </c>
      <c r="B1" s="8" t="s">
        <v>60</v>
      </c>
      <c r="C1" s="8" t="s">
        <v>61</v>
      </c>
      <c r="D1" s="8" t="s">
        <v>62</v>
      </c>
      <c r="E1" s="8" t="s">
        <v>33</v>
      </c>
    </row>
    <row r="2" spans="4:5" x14ac:dyDescent="0.25">
      <c r="E2" s="12"/>
    </row>
    <row r="3" spans="4:5" x14ac:dyDescent="0.25">
      <c r="E3" s="12"/>
    </row>
    <row r="4" spans="4:5" x14ac:dyDescent="0.25">
      <c r="E4" s="12"/>
    </row>
    <row r="5" spans="4:5" x14ac:dyDescent="0.25">
      <c r="E5" s="12"/>
    </row>
    <row r="6" spans="4:5" x14ac:dyDescent="0.25">
      <c r="E6" s="12"/>
    </row>
    <row r="7" spans="4:5" x14ac:dyDescent="0.25">
      <c r="E7" s="12"/>
    </row>
    <row r="8" spans="4:5" x14ac:dyDescent="0.25">
      <c r="E8" s="12"/>
    </row>
    <row r="9" spans="4:5" x14ac:dyDescent="0.25">
      <c r="E9" s="12"/>
    </row>
    <row r="10" spans="4:5" x14ac:dyDescent="0.25">
      <c r="E10" s="12"/>
    </row>
    <row r="11" spans="4:5" x14ac:dyDescent="0.25">
      <c r="E11" s="12"/>
    </row>
    <row r="12" spans="4:5" x14ac:dyDescent="0.25">
      <c r="E12" s="12"/>
    </row>
    <row r="13" spans="4:5" x14ac:dyDescent="0.25">
      <c r="E13" s="12"/>
    </row>
    <row r="14" spans="4:5" x14ac:dyDescent="0.25">
      <c r="E14" s="12"/>
    </row>
    <row r="15" spans="4:5" x14ac:dyDescent="0.25">
      <c r="E15" s="12"/>
    </row>
    <row r="16" spans="4:5" x14ac:dyDescent="0.25">
      <c r="E16" s="12"/>
    </row>
    <row r="17" spans="4:5" x14ac:dyDescent="0.25">
      <c r="E17" s="12"/>
    </row>
    <row r="18" spans="4:5" x14ac:dyDescent="0.25">
      <c r="E18" s="12"/>
    </row>
    <row r="19" spans="4:5" x14ac:dyDescent="0.25">
      <c r="E19" s="12"/>
    </row>
    <row r="20" spans="4:5" x14ac:dyDescent="0.25">
      <c r="E20" s="12"/>
    </row>
    <row r="21" spans="4:5" x14ac:dyDescent="0.25">
      <c r="E21" s="12"/>
    </row>
    <row r="22" spans="4:5" x14ac:dyDescent="0.25">
      <c r="E22" s="12"/>
    </row>
    <row r="23" spans="4:5" x14ac:dyDescent="0.25">
      <c r="E23" s="12"/>
    </row>
    <row r="24" spans="4:5" x14ac:dyDescent="0.25">
      <c r="E24" s="12"/>
    </row>
    <row r="25" spans="4:5" x14ac:dyDescent="0.25">
      <c r="E25" s="12"/>
    </row>
    <row r="26" spans="4:5" x14ac:dyDescent="0.25">
      <c r="E26" s="12"/>
    </row>
    <row r="27" spans="4:5" x14ac:dyDescent="0.25">
      <c r="E27" s="12"/>
    </row>
    <row r="28" spans="4:5" x14ac:dyDescent="0.25">
      <c r="E28" s="12"/>
    </row>
    <row r="29" spans="4:5" x14ac:dyDescent="0.25">
      <c r="E29" s="12"/>
    </row>
    <row r="30" spans="4:5" x14ac:dyDescent="0.25">
      <c r="E30" s="12"/>
    </row>
    <row r="31" spans="4:5" x14ac:dyDescent="0.25">
      <c r="E31" s="12"/>
    </row>
    <row r="32" spans="4:5" x14ac:dyDescent="0.25">
      <c r="E32" s="12"/>
    </row>
    <row r="33" spans="4:5" x14ac:dyDescent="0.25">
      <c r="E33" s="12"/>
    </row>
    <row r="34" spans="4:5" x14ac:dyDescent="0.25">
      <c r="E34" s="12"/>
    </row>
    <row r="35" spans="4:5" x14ac:dyDescent="0.25">
      <c r="E35" s="12"/>
    </row>
    <row r="36" spans="4:5" x14ac:dyDescent="0.25">
      <c r="E36" s="12"/>
    </row>
    <row r="37" spans="4:5" x14ac:dyDescent="0.25">
      <c r="E37" s="12"/>
    </row>
    <row r="38" spans="4:5" x14ac:dyDescent="0.25">
      <c r="E38" s="12"/>
    </row>
    <row r="39" spans="4:5" x14ac:dyDescent="0.25">
      <c r="E39" s="12"/>
    </row>
    <row r="40" spans="4:5" x14ac:dyDescent="0.25">
      <c r="E40" s="12"/>
    </row>
    <row r="41" spans="4:5" x14ac:dyDescent="0.25">
      <c r="E41" s="12"/>
    </row>
    <row r="42" spans="4:5" x14ac:dyDescent="0.25">
      <c r="E42" s="12"/>
    </row>
    <row r="43" spans="4:5" x14ac:dyDescent="0.25">
      <c r="E43" s="12"/>
    </row>
    <row r="44" spans="4:5" x14ac:dyDescent="0.25">
      <c r="E44" s="12"/>
    </row>
    <row r="45" spans="4:5" x14ac:dyDescent="0.25">
      <c r="E45" s="12"/>
    </row>
    <row r="46" spans="4:5" x14ac:dyDescent="0.25">
      <c r="E46" s="12"/>
    </row>
    <row r="47" spans="4:5" x14ac:dyDescent="0.25">
      <c r="E47" s="12"/>
    </row>
    <row r="48" spans="4:5" x14ac:dyDescent="0.25">
      <c r="E48" s="12"/>
    </row>
    <row r="49" spans="4:5" x14ac:dyDescent="0.25">
      <c r="E49" s="12"/>
    </row>
    <row r="50" spans="4:5" x14ac:dyDescent="0.25">
      <c r="E50" s="12"/>
    </row>
    <row r="51" spans="4:5" x14ac:dyDescent="0.25">
      <c r="E51" s="12"/>
    </row>
    <row r="52" spans="4:5" x14ac:dyDescent="0.25">
      <c r="E52" s="12"/>
    </row>
    <row r="53" spans="4:5" x14ac:dyDescent="0.25">
      <c r="E53" s="12"/>
    </row>
    <row r="54" spans="4:5" x14ac:dyDescent="0.25">
      <c r="E54" s="12"/>
    </row>
    <row r="55" spans="4:5" x14ac:dyDescent="0.25">
      <c r="E55" s="12"/>
    </row>
    <row r="56" spans="4:5" x14ac:dyDescent="0.25">
      <c r="E56" s="12"/>
    </row>
    <row r="57" spans="4:5" x14ac:dyDescent="0.25">
      <c r="E57" s="12"/>
    </row>
    <row r="58" spans="4:5" x14ac:dyDescent="0.25">
      <c r="E58" s="12"/>
    </row>
    <row r="59" spans="4:5" x14ac:dyDescent="0.25">
      <c r="E59" s="12"/>
    </row>
    <row r="60" spans="4:5" x14ac:dyDescent="0.25">
      <c r="E60" s="12"/>
    </row>
    <row r="61" spans="4:5" x14ac:dyDescent="0.25">
      <c r="E61" s="12"/>
    </row>
    <row r="62" spans="4:5" x14ac:dyDescent="0.25">
      <c r="E62" s="12"/>
    </row>
    <row r="63" spans="4:5" x14ac:dyDescent="0.25">
      <c r="E63" s="12"/>
    </row>
    <row r="64" spans="4:5" x14ac:dyDescent="0.25">
      <c r="E64" s="12"/>
    </row>
    <row r="65" spans="4:5" x14ac:dyDescent="0.25">
      <c r="E65" s="12"/>
    </row>
    <row r="66" spans="4:5" x14ac:dyDescent="0.25">
      <c r="E66" s="12"/>
    </row>
    <row r="67" spans="4:5" x14ac:dyDescent="0.25">
      <c r="E67" s="12"/>
    </row>
    <row r="68" spans="4:5" x14ac:dyDescent="0.25">
      <c r="E68" s="12"/>
    </row>
    <row r="69" spans="4:5" x14ac:dyDescent="0.25">
      <c r="E69" s="12"/>
    </row>
    <row r="70" spans="4:5" x14ac:dyDescent="0.25">
      <c r="E70" s="12"/>
    </row>
    <row r="71" spans="4:5" x14ac:dyDescent="0.25">
      <c r="E71" s="12"/>
    </row>
    <row r="72" spans="4:5" x14ac:dyDescent="0.25">
      <c r="E72" s="12"/>
    </row>
    <row r="73" spans="4:5" x14ac:dyDescent="0.25">
      <c r="E73" s="12"/>
    </row>
    <row r="74" spans="4:5" x14ac:dyDescent="0.25">
      <c r="E74" s="12"/>
    </row>
    <row r="75" spans="4:5" x14ac:dyDescent="0.25">
      <c r="E75" s="12"/>
    </row>
    <row r="76" spans="4:5" x14ac:dyDescent="0.25">
      <c r="E76" s="12"/>
    </row>
    <row r="77" spans="4:5" x14ac:dyDescent="0.25">
      <c r="E77" s="12"/>
    </row>
    <row r="78" spans="4:5" x14ac:dyDescent="0.25">
      <c r="E78" s="12"/>
    </row>
    <row r="79" spans="4:5" x14ac:dyDescent="0.25">
      <c r="E79" s="12"/>
    </row>
    <row r="80" spans="4:5" x14ac:dyDescent="0.25">
      <c r="E80" s="12"/>
    </row>
    <row r="81" spans="4:5" x14ac:dyDescent="0.25">
      <c r="E81" s="12"/>
    </row>
    <row r="82" spans="4:5" x14ac:dyDescent="0.25">
      <c r="E82" s="12"/>
    </row>
    <row r="83" spans="4:5" x14ac:dyDescent="0.25">
      <c r="E83" s="12"/>
    </row>
    <row r="84" spans="4:5" x14ac:dyDescent="0.25">
      <c r="E84" s="12"/>
    </row>
    <row r="85" spans="4:5" x14ac:dyDescent="0.25">
      <c r="E85" s="12"/>
    </row>
    <row r="86" spans="4:5" x14ac:dyDescent="0.25">
      <c r="E86" s="12"/>
    </row>
    <row r="87" spans="4:5" x14ac:dyDescent="0.25">
      <c r="E87" s="12"/>
    </row>
    <row r="88" spans="4:5" x14ac:dyDescent="0.25">
      <c r="E88" s="12"/>
    </row>
    <row r="89" spans="4:5" x14ac:dyDescent="0.25">
      <c r="E89" s="12"/>
    </row>
    <row r="90" spans="4:5" x14ac:dyDescent="0.25">
      <c r="E90" s="12"/>
    </row>
    <row r="91" spans="4:5" x14ac:dyDescent="0.25">
      <c r="E91" s="12"/>
    </row>
    <row r="92" spans="4:5" x14ac:dyDescent="0.25">
      <c r="E92" s="12"/>
    </row>
    <row r="93" spans="4:5" x14ac:dyDescent="0.25">
      <c r="E93" s="12"/>
    </row>
    <row r="94" spans="4:5" x14ac:dyDescent="0.25">
      <c r="E94" s="12"/>
    </row>
    <row r="95" spans="4:5" x14ac:dyDescent="0.25">
      <c r="E95" s="12"/>
    </row>
    <row r="96" spans="4:5" x14ac:dyDescent="0.25">
      <c r="E96" s="12"/>
    </row>
    <row r="97" spans="4:5" x14ac:dyDescent="0.25">
      <c r="E97" s="12"/>
    </row>
    <row r="98" spans="4:5" x14ac:dyDescent="0.25">
      <c r="E98" s="12"/>
    </row>
    <row r="99" spans="4:5" x14ac:dyDescent="0.25">
      <c r="E99" s="12"/>
    </row>
    <row r="100" spans="4:5" x14ac:dyDescent="0.25">
      <c r="E100" s="12"/>
    </row>
    <row r="101" spans="4:5" x14ac:dyDescent="0.25">
      <c r="E101" s="12"/>
    </row>
    <row r="102" spans="4:5" x14ac:dyDescent="0.25">
      <c r="E102" s="12"/>
    </row>
    <row r="103" spans="4:5" x14ac:dyDescent="0.25">
      <c r="E103" s="12"/>
    </row>
    <row r="104" spans="4:5" x14ac:dyDescent="0.25">
      <c r="E104" s="12"/>
    </row>
    <row r="105" spans="4:5" x14ac:dyDescent="0.25">
      <c r="E105" s="12"/>
    </row>
    <row r="106" spans="4:5" x14ac:dyDescent="0.25">
      <c r="E106" s="12"/>
    </row>
    <row r="107" spans="4:5" x14ac:dyDescent="0.25">
      <c r="E107" s="12"/>
    </row>
    <row r="108" spans="4:5" x14ac:dyDescent="0.25">
      <c r="E108" s="12"/>
    </row>
    <row r="109" spans="4:5" x14ac:dyDescent="0.25">
      <c r="E109" s="12"/>
    </row>
    <row r="110" spans="4:5" x14ac:dyDescent="0.25">
      <c r="E110" s="12"/>
    </row>
    <row r="111" spans="4:5" x14ac:dyDescent="0.25">
      <c r="E111" s="12"/>
    </row>
    <row r="112" spans="4:5" x14ac:dyDescent="0.25">
      <c r="E112" s="12"/>
    </row>
    <row r="113" spans="4:5" x14ac:dyDescent="0.25">
      <c r="E113" s="12"/>
    </row>
    <row r="114" spans="4:5" x14ac:dyDescent="0.25">
      <c r="E114" s="12"/>
    </row>
    <row r="115" spans="4:5" x14ac:dyDescent="0.25">
      <c r="E115" s="12"/>
    </row>
    <row r="116" spans="4:5" x14ac:dyDescent="0.25">
      <c r="E116" s="12"/>
    </row>
    <row r="117" spans="4:5" x14ac:dyDescent="0.25">
      <c r="E117" s="12"/>
    </row>
    <row r="118" spans="4:5" x14ac:dyDescent="0.25">
      <c r="E118" s="12"/>
    </row>
    <row r="119" spans="4:5" x14ac:dyDescent="0.25">
      <c r="E119" s="12"/>
    </row>
    <row r="120" spans="4:5" x14ac:dyDescent="0.25">
      <c r="E120" s="12"/>
    </row>
    <row r="121" spans="4:5" x14ac:dyDescent="0.25">
      <c r="E121" s="12"/>
    </row>
    <row r="122" spans="4:5" x14ac:dyDescent="0.25">
      <c r="E122" s="12"/>
    </row>
    <row r="123" spans="4:5" x14ac:dyDescent="0.25">
      <c r="E123" s="12"/>
    </row>
    <row r="124" spans="4:5" x14ac:dyDescent="0.25">
      <c r="E124" s="12"/>
    </row>
    <row r="125" spans="4:5" x14ac:dyDescent="0.25">
      <c r="E125" s="12"/>
    </row>
    <row r="126" spans="4:5" x14ac:dyDescent="0.25">
      <c r="E126" s="12"/>
    </row>
    <row r="127" spans="4:5" x14ac:dyDescent="0.25">
      <c r="E127" s="12"/>
    </row>
    <row r="128" spans="4:5" x14ac:dyDescent="0.25">
      <c r="E128" s="12"/>
    </row>
    <row r="129" spans="4:5" x14ac:dyDescent="0.25">
      <c r="E129" s="12"/>
    </row>
    <row r="130" spans="4:5" x14ac:dyDescent="0.25">
      <c r="E130" s="12"/>
    </row>
    <row r="131" spans="4:5" x14ac:dyDescent="0.25">
      <c r="E131" s="12"/>
    </row>
    <row r="132" spans="4:5" x14ac:dyDescent="0.25">
      <c r="E132" s="12"/>
    </row>
    <row r="133" spans="4:5" x14ac:dyDescent="0.25">
      <c r="E133" s="12"/>
    </row>
    <row r="134" spans="4:5" x14ac:dyDescent="0.25">
      <c r="E134" s="12"/>
    </row>
    <row r="135" spans="4:5" x14ac:dyDescent="0.25">
      <c r="E135" s="12"/>
    </row>
    <row r="136" spans="4:5" x14ac:dyDescent="0.25">
      <c r="E136" s="12"/>
    </row>
    <row r="137" spans="4:5" x14ac:dyDescent="0.25">
      <c r="E137" s="12"/>
    </row>
    <row r="138" spans="4:5" x14ac:dyDescent="0.25">
      <c r="E138" s="12"/>
    </row>
    <row r="139" spans="4:5" x14ac:dyDescent="0.25">
      <c r="E139" s="12"/>
    </row>
    <row r="140" spans="4:5" x14ac:dyDescent="0.25">
      <c r="E140" s="12"/>
    </row>
    <row r="141" spans="4:5" x14ac:dyDescent="0.25">
      <c r="E141" s="12"/>
    </row>
    <row r="142" spans="4:5" x14ac:dyDescent="0.25">
      <c r="E142" s="12"/>
    </row>
    <row r="143" spans="4:5" x14ac:dyDescent="0.25">
      <c r="E143" s="12"/>
    </row>
    <row r="144" spans="4:5" x14ac:dyDescent="0.25">
      <c r="E144" s="12"/>
    </row>
    <row r="145" spans="4:5" x14ac:dyDescent="0.25">
      <c r="E145" s="12"/>
    </row>
    <row r="146" spans="4:5" x14ac:dyDescent="0.25">
      <c r="E146" s="12"/>
    </row>
    <row r="147" spans="4:5" x14ac:dyDescent="0.25">
      <c r="E147" s="12"/>
    </row>
    <row r="148" spans="4:5" x14ac:dyDescent="0.25">
      <c r="E148" s="12"/>
    </row>
    <row r="149" spans="4:5" x14ac:dyDescent="0.25">
      <c r="E149" s="12"/>
    </row>
    <row r="150" spans="4:5" x14ac:dyDescent="0.25">
      <c r="E150" s="12"/>
    </row>
    <row r="151" spans="4:5" x14ac:dyDescent="0.25">
      <c r="E151" s="12"/>
    </row>
    <row r="152" spans="4:5" x14ac:dyDescent="0.25">
      <c r="E152" s="12"/>
    </row>
    <row r="153" spans="4:5" x14ac:dyDescent="0.25">
      <c r="E153" s="12"/>
    </row>
    <row r="154" spans="4:5" x14ac:dyDescent="0.25">
      <c r="E154" s="12"/>
    </row>
    <row r="155" spans="4:5" x14ac:dyDescent="0.25">
      <c r="E155" s="12"/>
    </row>
    <row r="156" spans="4:5" x14ac:dyDescent="0.25">
      <c r="E156" s="12"/>
    </row>
    <row r="157" spans="4:5" x14ac:dyDescent="0.25">
      <c r="E157" s="12"/>
    </row>
    <row r="158" spans="4:5" x14ac:dyDescent="0.25">
      <c r="E158" s="12"/>
    </row>
    <row r="159" spans="4:5" x14ac:dyDescent="0.25">
      <c r="E159" s="12"/>
    </row>
    <row r="160" spans="4:5" x14ac:dyDescent="0.25">
      <c r="E160" s="12"/>
    </row>
    <row r="161" spans="4:5" x14ac:dyDescent="0.25">
      <c r="E161" s="12"/>
    </row>
    <row r="162" spans="4:5" x14ac:dyDescent="0.25">
      <c r="E162" s="12"/>
    </row>
    <row r="163" spans="4:5" x14ac:dyDescent="0.25">
      <c r="E163" s="12"/>
    </row>
    <row r="164" spans="4:5" x14ac:dyDescent="0.25">
      <c r="E164" s="12"/>
    </row>
    <row r="165" spans="4:5" x14ac:dyDescent="0.25">
      <c r="E165" s="12"/>
    </row>
    <row r="166" spans="4:5" x14ac:dyDescent="0.25">
      <c r="E166" s="12"/>
    </row>
    <row r="167" spans="4:5" x14ac:dyDescent="0.25">
      <c r="E167" s="12"/>
    </row>
    <row r="168" spans="4:5" x14ac:dyDescent="0.25">
      <c r="E168" s="12"/>
    </row>
    <row r="169" spans="4:5" x14ac:dyDescent="0.25">
      <c r="E169" s="12"/>
    </row>
    <row r="170" spans="4:5" x14ac:dyDescent="0.25">
      <c r="E170" s="12"/>
    </row>
    <row r="171" spans="4:5" x14ac:dyDescent="0.25">
      <c r="E171" s="12"/>
    </row>
    <row r="172" spans="4:5" x14ac:dyDescent="0.25">
      <c r="E172" s="12"/>
    </row>
    <row r="173" spans="4:5" x14ac:dyDescent="0.25">
      <c r="E173" s="12"/>
    </row>
    <row r="174" spans="4:5" x14ac:dyDescent="0.25">
      <c r="E174" s="12"/>
    </row>
    <row r="175" spans="4:5" x14ac:dyDescent="0.25">
      <c r="E175" s="12"/>
    </row>
    <row r="176" spans="4:5" x14ac:dyDescent="0.25">
      <c r="E176" s="12"/>
    </row>
    <row r="177" spans="4:5" x14ac:dyDescent="0.25">
      <c r="E177" s="12"/>
    </row>
    <row r="178" spans="4:5" x14ac:dyDescent="0.25">
      <c r="E178" s="12"/>
    </row>
    <row r="179" spans="4:5" x14ac:dyDescent="0.25">
      <c r="E179" s="12"/>
    </row>
    <row r="180" spans="4:5" x14ac:dyDescent="0.25">
      <c r="E180" s="12"/>
    </row>
    <row r="181" spans="4:5" x14ac:dyDescent="0.25">
      <c r="E181" s="12"/>
    </row>
    <row r="182" spans="4:5" x14ac:dyDescent="0.25">
      <c r="E182" s="12"/>
    </row>
    <row r="183" spans="4:5" x14ac:dyDescent="0.25">
      <c r="E183" s="12"/>
    </row>
    <row r="184" spans="4:5" x14ac:dyDescent="0.25">
      <c r="E184" s="12"/>
    </row>
    <row r="185" spans="4:5" x14ac:dyDescent="0.25">
      <c r="E185" s="12"/>
    </row>
    <row r="186" spans="4:5" x14ac:dyDescent="0.25">
      <c r="E186" s="12"/>
    </row>
    <row r="187" spans="4:5" x14ac:dyDescent="0.25">
      <c r="E187" s="12"/>
    </row>
    <row r="188" spans="4:5" x14ac:dyDescent="0.25">
      <c r="E188" s="12"/>
    </row>
    <row r="189" spans="4:5" x14ac:dyDescent="0.25">
      <c r="E189" s="12"/>
    </row>
    <row r="190" spans="4:5" x14ac:dyDescent="0.25">
      <c r="E190" s="12"/>
    </row>
    <row r="191" spans="4:5" x14ac:dyDescent="0.25">
      <c r="E191" s="12"/>
    </row>
    <row r="192" spans="4:5" x14ac:dyDescent="0.25">
      <c r="E192" s="12"/>
    </row>
    <row r="193" spans="4:5" x14ac:dyDescent="0.25">
      <c r="E193" s="12"/>
    </row>
    <row r="194" spans="4:5" x14ac:dyDescent="0.25">
      <c r="E194" s="12"/>
    </row>
    <row r="195" spans="4:5" x14ac:dyDescent="0.25">
      <c r="E195" s="12"/>
    </row>
    <row r="196" spans="4:5" x14ac:dyDescent="0.25">
      <c r="E196" s="12"/>
    </row>
    <row r="197" spans="4:5" x14ac:dyDescent="0.25">
      <c r="E197" s="12"/>
    </row>
    <row r="198" spans="4:5" x14ac:dyDescent="0.25">
      <c r="E198" s="12"/>
    </row>
    <row r="199" spans="4:5" x14ac:dyDescent="0.25">
      <c r="E199" s="12"/>
    </row>
    <row r="200" spans="4:5" x14ac:dyDescent="0.25">
      <c r="E200" s="12"/>
    </row>
    <row r="201" spans="4:5" x14ac:dyDescent="0.25">
      <c r="E201" s="12"/>
    </row>
    <row r="202" spans="4:5" x14ac:dyDescent="0.25">
      <c r="E202" s="12"/>
    </row>
    <row r="203" spans="4:5" x14ac:dyDescent="0.25">
      <c r="E203" s="12"/>
    </row>
    <row r="204" spans="4:5" x14ac:dyDescent="0.25">
      <c r="E204" s="12"/>
    </row>
    <row r="205" spans="4:5" x14ac:dyDescent="0.25">
      <c r="E205" s="12"/>
    </row>
    <row r="206" spans="4:5" x14ac:dyDescent="0.25">
      <c r="E206" s="12"/>
    </row>
    <row r="207" spans="4:5" x14ac:dyDescent="0.25">
      <c r="E207" s="12"/>
    </row>
    <row r="208" spans="4:5" x14ac:dyDescent="0.25">
      <c r="E208" s="12"/>
    </row>
    <row r="209" spans="4:5" x14ac:dyDescent="0.25">
      <c r="E209" s="12"/>
    </row>
    <row r="210" spans="4:5" x14ac:dyDescent="0.25">
      <c r="E210" s="12"/>
    </row>
    <row r="211" spans="4:5" x14ac:dyDescent="0.25">
      <c r="E211" s="12"/>
    </row>
    <row r="212" spans="4:5" x14ac:dyDescent="0.25">
      <c r="E212" s="12"/>
    </row>
    <row r="213" spans="4:5" x14ac:dyDescent="0.25">
      <c r="E213" s="12"/>
    </row>
    <row r="214" spans="4:5" x14ac:dyDescent="0.25">
      <c r="E214" s="12"/>
    </row>
    <row r="215" spans="4:5" x14ac:dyDescent="0.25">
      <c r="E215" s="12"/>
    </row>
    <row r="216" spans="4:5" x14ac:dyDescent="0.25">
      <c r="E216" s="12"/>
    </row>
    <row r="217" spans="4:5" x14ac:dyDescent="0.25">
      <c r="E217" s="12"/>
    </row>
    <row r="218" spans="4:5" x14ac:dyDescent="0.25">
      <c r="E218" s="12"/>
    </row>
    <row r="219" spans="4:5" x14ac:dyDescent="0.25">
      <c r="E219" s="12"/>
    </row>
    <row r="220" spans="4:5" x14ac:dyDescent="0.25">
      <c r="E220" s="12"/>
    </row>
    <row r="221" spans="4:5" x14ac:dyDescent="0.25">
      <c r="E221" s="12"/>
    </row>
    <row r="222" spans="4:5" x14ac:dyDescent="0.25">
      <c r="E222" s="12"/>
    </row>
    <row r="223" spans="4:5" x14ac:dyDescent="0.25">
      <c r="E223" s="12"/>
    </row>
    <row r="224" spans="4:5" x14ac:dyDescent="0.25">
      <c r="E224" s="12"/>
    </row>
    <row r="225" spans="4:5" x14ac:dyDescent="0.25">
      <c r="E225" s="12"/>
    </row>
    <row r="226" spans="4:5" x14ac:dyDescent="0.25">
      <c r="E226" s="12"/>
    </row>
    <row r="227" spans="4:5" x14ac:dyDescent="0.25">
      <c r="E227" s="12"/>
    </row>
    <row r="228" spans="4:5" x14ac:dyDescent="0.25">
      <c r="E228" s="12"/>
    </row>
    <row r="229" spans="4:5" x14ac:dyDescent="0.25">
      <c r="E229" s="12"/>
    </row>
    <row r="230" spans="4:5" x14ac:dyDescent="0.25">
      <c r="E230" s="12"/>
    </row>
    <row r="231" spans="4:5" x14ac:dyDescent="0.25">
      <c r="E231" s="12"/>
    </row>
    <row r="232" spans="4:5" x14ac:dyDescent="0.25">
      <c r="E232" s="12"/>
    </row>
    <row r="233" spans="4:5" x14ac:dyDescent="0.25">
      <c r="E233" s="12"/>
    </row>
    <row r="234" spans="4:5" x14ac:dyDescent="0.25">
      <c r="E234" s="12"/>
    </row>
    <row r="235" spans="4:5" x14ac:dyDescent="0.25">
      <c r="E235" s="12"/>
    </row>
    <row r="236" spans="4:5" x14ac:dyDescent="0.25">
      <c r="E236" s="12"/>
    </row>
    <row r="237" spans="4:5" x14ac:dyDescent="0.25">
      <c r="E237" s="12"/>
    </row>
    <row r="238" spans="4:5" x14ac:dyDescent="0.25">
      <c r="E238" s="12"/>
    </row>
    <row r="239" spans="4:5" x14ac:dyDescent="0.25">
      <c r="E239" s="12"/>
    </row>
    <row r="240" spans="4:5" x14ac:dyDescent="0.25">
      <c r="E240" s="12"/>
    </row>
    <row r="241" spans="4:5" x14ac:dyDescent="0.25">
      <c r="E241" s="12"/>
    </row>
    <row r="242" spans="4:5" x14ac:dyDescent="0.25">
      <c r="E242" s="12"/>
    </row>
    <row r="243" spans="4:5" x14ac:dyDescent="0.25">
      <c r="E243" s="12"/>
    </row>
    <row r="244" spans="4:5" x14ac:dyDescent="0.25">
      <c r="E244" s="12"/>
    </row>
    <row r="245" spans="4:5" x14ac:dyDescent="0.25">
      <c r="E245" s="12"/>
    </row>
    <row r="246" spans="4:5" x14ac:dyDescent="0.25">
      <c r="E246" s="12"/>
    </row>
    <row r="247" spans="4:5" x14ac:dyDescent="0.25">
      <c r="E247" s="12"/>
    </row>
    <row r="248" spans="4:5" x14ac:dyDescent="0.25">
      <c r="E248" s="12"/>
    </row>
    <row r="249" spans="4:5" x14ac:dyDescent="0.25">
      <c r="E249" s="12"/>
    </row>
    <row r="250" spans="4:5" x14ac:dyDescent="0.25">
      <c r="E250" s="12"/>
    </row>
    <row r="251" spans="4:5" x14ac:dyDescent="0.25">
      <c r="E251" s="12"/>
    </row>
    <row r="252" spans="4:5" x14ac:dyDescent="0.25">
      <c r="E252" s="12"/>
    </row>
    <row r="253" spans="4:5" x14ac:dyDescent="0.25">
      <c r="E253" s="12"/>
    </row>
    <row r="254" spans="4:5" x14ac:dyDescent="0.25">
      <c r="E254" s="12"/>
    </row>
    <row r="255" spans="4:5" x14ac:dyDescent="0.25">
      <c r="E255" s="12"/>
    </row>
    <row r="256" spans="4:5" x14ac:dyDescent="0.25">
      <c r="E256" s="12"/>
    </row>
    <row r="257" spans="4:5" x14ac:dyDescent="0.25">
      <c r="E257" s="12"/>
    </row>
    <row r="258" spans="4:5" x14ac:dyDescent="0.25">
      <c r="E258" s="12"/>
    </row>
    <row r="259" spans="4:5" x14ac:dyDescent="0.25">
      <c r="E259" s="12"/>
    </row>
    <row r="260" spans="4:5" x14ac:dyDescent="0.25">
      <c r="E260" s="12"/>
    </row>
    <row r="261" spans="4:5" x14ac:dyDescent="0.25">
      <c r="E261" s="12"/>
    </row>
    <row r="262" spans="4:5" x14ac:dyDescent="0.25">
      <c r="E262" s="12"/>
    </row>
    <row r="263" spans="4:5" x14ac:dyDescent="0.25">
      <c r="E263" s="12"/>
    </row>
    <row r="264" spans="4:5" x14ac:dyDescent="0.25">
      <c r="E264" s="12"/>
    </row>
    <row r="265" spans="4:5" x14ac:dyDescent="0.25">
      <c r="E265" s="12"/>
    </row>
    <row r="266" spans="4:5" x14ac:dyDescent="0.25">
      <c r="E266" s="12"/>
    </row>
    <row r="267" spans="4:5" x14ac:dyDescent="0.25">
      <c r="E267" s="12"/>
    </row>
    <row r="268" spans="4:5" x14ac:dyDescent="0.25">
      <c r="E268" s="12"/>
    </row>
    <row r="269" spans="4:5" x14ac:dyDescent="0.25">
      <c r="E269" s="12"/>
    </row>
    <row r="270" spans="4:5" x14ac:dyDescent="0.25">
      <c r="E270" s="12"/>
    </row>
    <row r="271" spans="4:5" x14ac:dyDescent="0.25">
      <c r="E271" s="12"/>
    </row>
    <row r="272" spans="4:5" x14ac:dyDescent="0.25">
      <c r="E272" s="12"/>
    </row>
    <row r="273" spans="4:5" x14ac:dyDescent="0.25">
      <c r="E273" s="12"/>
    </row>
    <row r="274" spans="4:5" x14ac:dyDescent="0.25">
      <c r="E274" s="12"/>
    </row>
    <row r="275" spans="4:5" x14ac:dyDescent="0.25">
      <c r="E275" s="12"/>
    </row>
    <row r="276" spans="4:5" x14ac:dyDescent="0.25">
      <c r="E276" s="12"/>
    </row>
    <row r="277" spans="4:5" x14ac:dyDescent="0.25">
      <c r="E277" s="12"/>
    </row>
    <row r="278" spans="4:5" x14ac:dyDescent="0.25">
      <c r="E278" s="12"/>
    </row>
    <row r="279" spans="4:5" x14ac:dyDescent="0.25">
      <c r="E279" s="12"/>
    </row>
    <row r="280" spans="4:5" x14ac:dyDescent="0.25">
      <c r="E280" s="12"/>
    </row>
    <row r="281" spans="4:5" x14ac:dyDescent="0.25">
      <c r="E281" s="12"/>
    </row>
    <row r="282" spans="4:5" x14ac:dyDescent="0.25">
      <c r="E282" s="12"/>
    </row>
    <row r="283" spans="4:5" x14ac:dyDescent="0.25">
      <c r="E283" s="12"/>
    </row>
    <row r="284" spans="4:5" x14ac:dyDescent="0.25">
      <c r="E284" s="12"/>
    </row>
    <row r="285" spans="4:5" x14ac:dyDescent="0.25">
      <c r="E285" s="12"/>
    </row>
    <row r="286" spans="4:5" x14ac:dyDescent="0.25">
      <c r="E286" s="12"/>
    </row>
    <row r="287" spans="4:5" x14ac:dyDescent="0.25">
      <c r="E287" s="12"/>
    </row>
    <row r="288" spans="4:5" x14ac:dyDescent="0.25">
      <c r="E288" s="12"/>
    </row>
    <row r="289" spans="4:5" x14ac:dyDescent="0.25">
      <c r="E289" s="12"/>
    </row>
    <row r="290" spans="4:5" x14ac:dyDescent="0.25">
      <c r="E290" s="12"/>
    </row>
    <row r="291" spans="4:5" x14ac:dyDescent="0.25">
      <c r="E291" s="12"/>
    </row>
    <row r="292" spans="4:5" x14ac:dyDescent="0.25">
      <c r="E292" s="12"/>
    </row>
    <row r="293" spans="4:5" x14ac:dyDescent="0.25">
      <c r="E293" s="12"/>
    </row>
    <row r="294" spans="4:5" x14ac:dyDescent="0.25">
      <c r="E294" s="12"/>
    </row>
    <row r="295" spans="4:5" x14ac:dyDescent="0.25">
      <c r="E295" s="12"/>
    </row>
    <row r="296" spans="4:5" x14ac:dyDescent="0.25">
      <c r="E296" s="12"/>
    </row>
    <row r="297" spans="4:5" x14ac:dyDescent="0.25">
      <c r="E297" s="12"/>
    </row>
    <row r="298" spans="4:5" x14ac:dyDescent="0.25">
      <c r="E298" s="12"/>
    </row>
    <row r="299" spans="4:5" x14ac:dyDescent="0.25">
      <c r="E299" s="12"/>
    </row>
    <row r="300" spans="4:5" x14ac:dyDescent="0.25">
      <c r="E300" s="12"/>
    </row>
    <row r="301" spans="4:5" x14ac:dyDescent="0.25">
      <c r="E301" s="12"/>
    </row>
    <row r="302" spans="4:5" x14ac:dyDescent="0.25">
      <c r="E302" s="12"/>
    </row>
    <row r="303" spans="4:5" x14ac:dyDescent="0.25">
      <c r="E303" s="12"/>
    </row>
    <row r="304" spans="4:5" x14ac:dyDescent="0.25">
      <c r="E304" s="12"/>
    </row>
    <row r="305" spans="4:5" x14ac:dyDescent="0.25">
      <c r="E305" s="12"/>
    </row>
    <row r="306" spans="4:5" x14ac:dyDescent="0.25">
      <c r="E306" s="12"/>
    </row>
    <row r="307" spans="4:5" x14ac:dyDescent="0.25">
      <c r="E307" s="12"/>
    </row>
    <row r="308" spans="4:5" x14ac:dyDescent="0.25">
      <c r="E308" s="12"/>
    </row>
    <row r="309" spans="4:5" x14ac:dyDescent="0.25">
      <c r="E309" s="12"/>
    </row>
    <row r="310" spans="4:5" x14ac:dyDescent="0.25">
      <c r="E310" s="12"/>
    </row>
    <row r="311" spans="4:5" x14ac:dyDescent="0.25">
      <c r="E311" s="12"/>
    </row>
    <row r="312" spans="4:5" x14ac:dyDescent="0.25">
      <c r="E312" s="12"/>
    </row>
    <row r="313" spans="4:5" x14ac:dyDescent="0.25">
      <c r="E313" s="12"/>
    </row>
    <row r="314" spans="4:5" x14ac:dyDescent="0.25">
      <c r="E314" s="12"/>
    </row>
    <row r="315" spans="4:5" x14ac:dyDescent="0.25">
      <c r="E315" s="12"/>
    </row>
    <row r="316" spans="4:5" x14ac:dyDescent="0.25">
      <c r="E316" s="12"/>
    </row>
    <row r="317" spans="4:5" x14ac:dyDescent="0.25">
      <c r="E317" s="12"/>
    </row>
    <row r="318" spans="4:5" x14ac:dyDescent="0.25">
      <c r="E318" s="12"/>
    </row>
    <row r="319" spans="4:5" x14ac:dyDescent="0.25">
      <c r="E319" s="12"/>
    </row>
    <row r="320" spans="4:5" x14ac:dyDescent="0.25">
      <c r="E320" s="12"/>
    </row>
    <row r="321" spans="4:5" x14ac:dyDescent="0.25">
      <c r="E321" s="12"/>
    </row>
    <row r="322" spans="4:5" x14ac:dyDescent="0.25">
      <c r="E322" s="12"/>
    </row>
    <row r="323" spans="4:5" x14ac:dyDescent="0.25">
      <c r="E323" s="12"/>
    </row>
    <row r="324" spans="4:5" x14ac:dyDescent="0.25">
      <c r="E324" s="12"/>
    </row>
    <row r="325" spans="4:5" x14ac:dyDescent="0.25">
      <c r="E325" s="12"/>
    </row>
    <row r="326" spans="4:5" x14ac:dyDescent="0.25">
      <c r="E326" s="12"/>
    </row>
    <row r="327" spans="4:5" x14ac:dyDescent="0.25">
      <c r="E327" s="12"/>
    </row>
    <row r="328" spans="4:5" x14ac:dyDescent="0.25">
      <c r="E328" s="12"/>
    </row>
    <row r="329" spans="4:5" x14ac:dyDescent="0.25">
      <c r="E329" s="12"/>
    </row>
    <row r="330" spans="4:5" x14ac:dyDescent="0.25">
      <c r="E330" s="12"/>
    </row>
    <row r="331" spans="4:5" x14ac:dyDescent="0.25">
      <c r="E331" s="12"/>
    </row>
    <row r="332" spans="4:5" x14ac:dyDescent="0.25">
      <c r="E332" s="12"/>
    </row>
    <row r="333" spans="4:5" x14ac:dyDescent="0.25">
      <c r="E333" s="12"/>
    </row>
    <row r="334" spans="4:5" x14ac:dyDescent="0.25">
      <c r="E334" s="12"/>
    </row>
    <row r="335" spans="4:5" x14ac:dyDescent="0.25">
      <c r="E335" s="12"/>
    </row>
    <row r="336" spans="4:5" x14ac:dyDescent="0.25">
      <c r="E336" s="12"/>
    </row>
    <row r="337" spans="4:5" x14ac:dyDescent="0.25">
      <c r="E337" s="12"/>
    </row>
    <row r="338" spans="4:5" x14ac:dyDescent="0.25">
      <c r="E338" s="12"/>
    </row>
    <row r="339" spans="4:5" x14ac:dyDescent="0.25">
      <c r="E339" s="12"/>
    </row>
    <row r="340" spans="4:5" x14ac:dyDescent="0.25">
      <c r="E340" s="12"/>
    </row>
    <row r="341" spans="4:5" x14ac:dyDescent="0.25">
      <c r="E341" s="12"/>
    </row>
    <row r="342" spans="4:5" x14ac:dyDescent="0.25">
      <c r="E342" s="12"/>
    </row>
    <row r="343" spans="4:5" x14ac:dyDescent="0.25">
      <c r="E343" s="12"/>
    </row>
    <row r="344" spans="4:5" x14ac:dyDescent="0.25">
      <c r="E344" s="12"/>
    </row>
    <row r="345" spans="4:5" x14ac:dyDescent="0.25">
      <c r="E345" s="12"/>
    </row>
    <row r="346" spans="4:5" x14ac:dyDescent="0.25">
      <c r="E346" s="12"/>
    </row>
    <row r="347" spans="4:5" x14ac:dyDescent="0.25">
      <c r="E347" s="12"/>
    </row>
    <row r="348" spans="4:5" x14ac:dyDescent="0.25">
      <c r="E348" s="12"/>
    </row>
    <row r="349" spans="4:5" x14ac:dyDescent="0.25">
      <c r="E349" s="12"/>
    </row>
    <row r="350" spans="4:5" x14ac:dyDescent="0.25">
      <c r="E350" s="12"/>
    </row>
    <row r="351" spans="4:5" x14ac:dyDescent="0.25">
      <c r="E351" s="12"/>
    </row>
    <row r="352" spans="4:5" x14ac:dyDescent="0.25">
      <c r="E352" s="12"/>
    </row>
    <row r="353" spans="4:5" x14ac:dyDescent="0.25">
      <c r="E353" s="12"/>
    </row>
    <row r="354" spans="4:5" x14ac:dyDescent="0.25">
      <c r="E354" s="12"/>
    </row>
    <row r="355" spans="4:5" x14ac:dyDescent="0.25">
      <c r="E355" s="12"/>
    </row>
    <row r="356" spans="4:5" x14ac:dyDescent="0.25">
      <c r="E356" s="12"/>
    </row>
    <row r="357" spans="4:5" x14ac:dyDescent="0.25">
      <c r="E357" s="12"/>
    </row>
    <row r="358" spans="4:5" x14ac:dyDescent="0.25">
      <c r="E358" s="12"/>
    </row>
    <row r="359" spans="4:5" x14ac:dyDescent="0.25">
      <c r="E359" s="12"/>
    </row>
    <row r="360" spans="4:5" x14ac:dyDescent="0.25">
      <c r="E360" s="12"/>
    </row>
    <row r="361" spans="4:5" x14ac:dyDescent="0.25">
      <c r="E361" s="12"/>
    </row>
    <row r="362" spans="4:5" x14ac:dyDescent="0.25">
      <c r="E362" s="12"/>
    </row>
    <row r="363" spans="4:5" x14ac:dyDescent="0.25">
      <c r="E363" s="12"/>
    </row>
    <row r="364" spans="4:5" x14ac:dyDescent="0.25">
      <c r="E364" s="12"/>
    </row>
    <row r="365" spans="4:5" x14ac:dyDescent="0.25">
      <c r="E365" s="12"/>
    </row>
    <row r="366" spans="4:5" x14ac:dyDescent="0.25">
      <c r="E366" s="12"/>
    </row>
    <row r="367" spans="4:5" x14ac:dyDescent="0.25">
      <c r="E367" s="12"/>
    </row>
    <row r="368" spans="4:5" x14ac:dyDescent="0.25">
      <c r="E368" s="12"/>
    </row>
    <row r="369" spans="4:5" x14ac:dyDescent="0.25">
      <c r="E369" s="12"/>
    </row>
    <row r="370" spans="4:5" x14ac:dyDescent="0.25">
      <c r="E370" s="12"/>
    </row>
    <row r="371" spans="4:5" x14ac:dyDescent="0.25">
      <c r="E371" s="12"/>
    </row>
    <row r="372" spans="4:5" x14ac:dyDescent="0.25">
      <c r="E372" s="12"/>
    </row>
    <row r="373" spans="4:5" x14ac:dyDescent="0.25">
      <c r="E373" s="12"/>
    </row>
    <row r="374" spans="4:5" x14ac:dyDescent="0.25">
      <c r="E374" s="12"/>
    </row>
    <row r="375" spans="4:5" x14ac:dyDescent="0.25">
      <c r="E375" s="12"/>
    </row>
    <row r="376" spans="4:5" x14ac:dyDescent="0.25">
      <c r="E376" s="12"/>
    </row>
    <row r="377" spans="4:5" x14ac:dyDescent="0.25">
      <c r="E377" s="12"/>
    </row>
    <row r="378" spans="4:5" x14ac:dyDescent="0.25">
      <c r="E378" s="12"/>
    </row>
    <row r="379" spans="4:5" x14ac:dyDescent="0.25">
      <c r="E379" s="12"/>
    </row>
    <row r="380" spans="4:5" x14ac:dyDescent="0.25">
      <c r="E380" s="12"/>
    </row>
    <row r="381" spans="4:5" x14ac:dyDescent="0.25">
      <c r="E381" s="12"/>
    </row>
    <row r="382" spans="4:5" x14ac:dyDescent="0.25">
      <c r="E382" s="12"/>
    </row>
    <row r="383" spans="4:5" x14ac:dyDescent="0.25">
      <c r="E383" s="12"/>
    </row>
    <row r="384" spans="4:5" x14ac:dyDescent="0.25">
      <c r="E384" s="12"/>
    </row>
    <row r="385" spans="4:5" x14ac:dyDescent="0.25">
      <c r="E385" s="12"/>
    </row>
    <row r="386" spans="4:5" x14ac:dyDescent="0.25">
      <c r="E386" s="12"/>
    </row>
    <row r="387" spans="4:5" x14ac:dyDescent="0.25">
      <c r="E387" s="12"/>
    </row>
    <row r="388" spans="4:5" x14ac:dyDescent="0.25">
      <c r="E388" s="12"/>
    </row>
    <row r="389" spans="4:5" x14ac:dyDescent="0.25">
      <c r="E389" s="12"/>
    </row>
    <row r="390" spans="4:5" x14ac:dyDescent="0.25">
      <c r="E390" s="12"/>
    </row>
    <row r="391" spans="4:5" x14ac:dyDescent="0.25">
      <c r="E391" s="12"/>
    </row>
    <row r="392" spans="4:5" x14ac:dyDescent="0.25">
      <c r="E392" s="12"/>
    </row>
    <row r="393" spans="4:5" x14ac:dyDescent="0.25">
      <c r="E393" s="12"/>
    </row>
    <row r="394" spans="4:5" x14ac:dyDescent="0.25">
      <c r="E394" s="12"/>
    </row>
    <row r="395" spans="4:5" x14ac:dyDescent="0.25">
      <c r="E395" s="12"/>
    </row>
    <row r="396" spans="4:5" x14ac:dyDescent="0.25">
      <c r="E396" s="12"/>
    </row>
    <row r="397" spans="4:5" x14ac:dyDescent="0.25">
      <c r="E397" s="12"/>
    </row>
    <row r="398" spans="4:5" x14ac:dyDescent="0.25">
      <c r="E398" s="12"/>
    </row>
    <row r="399" spans="4:5" x14ac:dyDescent="0.25">
      <c r="E399" s="12"/>
    </row>
    <row r="400" spans="4:5" x14ac:dyDescent="0.25">
      <c r="E400" s="12"/>
    </row>
    <row r="401" spans="4:5" x14ac:dyDescent="0.25">
      <c r="E401" s="12"/>
    </row>
    <row r="402" spans="4:5" x14ac:dyDescent="0.25">
      <c r="E402" s="12"/>
    </row>
    <row r="403" spans="4:5" x14ac:dyDescent="0.25">
      <c r="E403" s="12"/>
    </row>
    <row r="404" spans="4:5" x14ac:dyDescent="0.25">
      <c r="E404" s="12"/>
    </row>
    <row r="405" spans="4:5" x14ac:dyDescent="0.25">
      <c r="E405" s="12"/>
    </row>
    <row r="406" spans="4:5" x14ac:dyDescent="0.25">
      <c r="E406" s="12"/>
    </row>
    <row r="407" spans="4:5" x14ac:dyDescent="0.25">
      <c r="E407" s="12"/>
    </row>
    <row r="408" spans="4:5" x14ac:dyDescent="0.25">
      <c r="E408" s="12"/>
    </row>
    <row r="409" spans="4:5" x14ac:dyDescent="0.25">
      <c r="E409" s="12"/>
    </row>
    <row r="410" spans="4:5" x14ac:dyDescent="0.25">
      <c r="E410" s="12"/>
    </row>
    <row r="411" spans="4:5" x14ac:dyDescent="0.25">
      <c r="E411" s="12"/>
    </row>
    <row r="412" spans="4:5" x14ac:dyDescent="0.25">
      <c r="E412" s="12"/>
    </row>
    <row r="413" spans="4:5" x14ac:dyDescent="0.25">
      <c r="E413" s="12"/>
    </row>
    <row r="414" spans="4:5" x14ac:dyDescent="0.25">
      <c r="E414" s="12"/>
    </row>
    <row r="415" spans="4:5" x14ac:dyDescent="0.25">
      <c r="E415" s="12"/>
    </row>
    <row r="416" spans="4:5" x14ac:dyDescent="0.25">
      <c r="E416" s="12"/>
    </row>
    <row r="417" spans="4:5" x14ac:dyDescent="0.25">
      <c r="E417" s="12"/>
    </row>
    <row r="418" spans="4:5" x14ac:dyDescent="0.25">
      <c r="E418" s="12"/>
    </row>
    <row r="419" spans="4:5" x14ac:dyDescent="0.25">
      <c r="E419" s="12"/>
    </row>
    <row r="420" spans="4:5" x14ac:dyDescent="0.25">
      <c r="E420" s="12"/>
    </row>
    <row r="421" spans="4:5" x14ac:dyDescent="0.25">
      <c r="E421" s="12"/>
    </row>
    <row r="422" spans="4:5" x14ac:dyDescent="0.25">
      <c r="E422" s="12"/>
    </row>
    <row r="423" spans="4:5" x14ac:dyDescent="0.25">
      <c r="E423" s="12"/>
    </row>
    <row r="424" spans="4:5" x14ac:dyDescent="0.25">
      <c r="E424" s="12"/>
    </row>
    <row r="425" spans="4:5" x14ac:dyDescent="0.25">
      <c r="E425" s="12"/>
    </row>
    <row r="426" spans="4:5" x14ac:dyDescent="0.25">
      <c r="E426" s="12"/>
    </row>
    <row r="427" spans="4:5" x14ac:dyDescent="0.25">
      <c r="E427" s="12"/>
    </row>
    <row r="428" spans="4:5" x14ac:dyDescent="0.25">
      <c r="E428" s="12"/>
    </row>
    <row r="429" spans="4:5" x14ac:dyDescent="0.25">
      <c r="E429" s="12"/>
    </row>
    <row r="430" spans="4:5" x14ac:dyDescent="0.25">
      <c r="E430" s="12"/>
    </row>
    <row r="431" spans="4:5" x14ac:dyDescent="0.25">
      <c r="E431" s="12"/>
    </row>
    <row r="432" spans="4:5" x14ac:dyDescent="0.25">
      <c r="E432" s="12"/>
    </row>
    <row r="433" spans="4:5" x14ac:dyDescent="0.25">
      <c r="E433" s="12"/>
    </row>
    <row r="434" spans="4:5" x14ac:dyDescent="0.25">
      <c r="E434" s="12"/>
    </row>
    <row r="435" spans="4:5" x14ac:dyDescent="0.25">
      <c r="E435" s="12"/>
    </row>
    <row r="436" spans="4:5" x14ac:dyDescent="0.25">
      <c r="E436" s="12"/>
    </row>
    <row r="437" spans="4:5" x14ac:dyDescent="0.25">
      <c r="E437" s="12"/>
    </row>
    <row r="438" spans="4:5" x14ac:dyDescent="0.25">
      <c r="E438" s="12"/>
    </row>
    <row r="439" spans="4:5" x14ac:dyDescent="0.25">
      <c r="E439" s="12"/>
    </row>
    <row r="440" spans="4:5" x14ac:dyDescent="0.25">
      <c r="E440" s="12"/>
    </row>
    <row r="441" spans="4:5" x14ac:dyDescent="0.25">
      <c r="E441" s="12"/>
    </row>
    <row r="442" spans="4:5" x14ac:dyDescent="0.25">
      <c r="E442" s="12"/>
    </row>
    <row r="443" spans="4:5" x14ac:dyDescent="0.25">
      <c r="E443" s="12"/>
    </row>
    <row r="444" spans="4:5" x14ac:dyDescent="0.25">
      <c r="E444" s="12"/>
    </row>
    <row r="445" spans="4:5" x14ac:dyDescent="0.25">
      <c r="E445" s="12"/>
    </row>
    <row r="446" spans="4:5" x14ac:dyDescent="0.25">
      <c r="E446" s="12"/>
    </row>
    <row r="447" spans="4:5" x14ac:dyDescent="0.25">
      <c r="E447" s="12"/>
    </row>
    <row r="448" spans="4:5" x14ac:dyDescent="0.25">
      <c r="E448" s="12"/>
    </row>
    <row r="449" spans="4:5" x14ac:dyDescent="0.25">
      <c r="E449" s="12"/>
    </row>
    <row r="450" spans="4:5" x14ac:dyDescent="0.25">
      <c r="E450" s="12"/>
    </row>
    <row r="451" spans="4:5" x14ac:dyDescent="0.25">
      <c r="E451" s="12"/>
    </row>
    <row r="452" spans="4:5" x14ac:dyDescent="0.25">
      <c r="E452" s="12"/>
    </row>
    <row r="453" spans="4:5" x14ac:dyDescent="0.25">
      <c r="E453" s="12"/>
    </row>
    <row r="454" spans="4:5" x14ac:dyDescent="0.25">
      <c r="E454" s="12"/>
    </row>
    <row r="455" spans="4:5" x14ac:dyDescent="0.25">
      <c r="E455" s="12"/>
    </row>
    <row r="456" spans="4:5" x14ac:dyDescent="0.25">
      <c r="E456" s="12"/>
    </row>
    <row r="457" spans="4:5" x14ac:dyDescent="0.25">
      <c r="E457" s="12"/>
    </row>
    <row r="458" spans="4:5" x14ac:dyDescent="0.25">
      <c r="E458" s="12"/>
    </row>
    <row r="459" spans="4:5" x14ac:dyDescent="0.25">
      <c r="E459" s="12"/>
    </row>
    <row r="460" spans="4:5" x14ac:dyDescent="0.25">
      <c r="E460" s="12"/>
    </row>
    <row r="461" spans="4:5" x14ac:dyDescent="0.25">
      <c r="E461" s="12"/>
    </row>
    <row r="462" spans="4:5" x14ac:dyDescent="0.25">
      <c r="E462" s="12"/>
    </row>
    <row r="463" spans="4:5" x14ac:dyDescent="0.25">
      <c r="E463" s="12"/>
    </row>
    <row r="464" spans="4:5" x14ac:dyDescent="0.25">
      <c r="E464" s="12"/>
    </row>
    <row r="465" spans="4:5" x14ac:dyDescent="0.25">
      <c r="E465" s="12"/>
    </row>
    <row r="466" spans="4:5" x14ac:dyDescent="0.25">
      <c r="E466" s="12"/>
    </row>
    <row r="467" spans="4:5" x14ac:dyDescent="0.25">
      <c r="E467" s="12"/>
    </row>
    <row r="468" spans="4:5" x14ac:dyDescent="0.25">
      <c r="E468" s="12"/>
    </row>
    <row r="469" spans="4:5" x14ac:dyDescent="0.25">
      <c r="E469" s="12"/>
    </row>
    <row r="470" spans="4:5" x14ac:dyDescent="0.25">
      <c r="E470" s="12"/>
    </row>
    <row r="471" spans="4:5" x14ac:dyDescent="0.25">
      <c r="E471" s="12"/>
    </row>
    <row r="472" spans="4:5" x14ac:dyDescent="0.25">
      <c r="E472" s="12"/>
    </row>
    <row r="473" spans="4:5" x14ac:dyDescent="0.25">
      <c r="E473" s="12"/>
    </row>
    <row r="474" spans="4:5" x14ac:dyDescent="0.25">
      <c r="E474" s="12"/>
    </row>
    <row r="475" spans="4:5" x14ac:dyDescent="0.25">
      <c r="E475" s="12"/>
    </row>
    <row r="476" spans="4:5" x14ac:dyDescent="0.25">
      <c r="E476" s="12"/>
    </row>
    <row r="477" spans="4:5" x14ac:dyDescent="0.25">
      <c r="E477" s="12"/>
    </row>
    <row r="478" spans="4:5" x14ac:dyDescent="0.25">
      <c r="E478" s="12"/>
    </row>
    <row r="479" spans="4:5" x14ac:dyDescent="0.25">
      <c r="E479" s="12"/>
    </row>
    <row r="480" spans="4:5" x14ac:dyDescent="0.25">
      <c r="E480" s="12"/>
    </row>
    <row r="481" spans="4:5" x14ac:dyDescent="0.25">
      <c r="E481" s="12"/>
    </row>
    <row r="482" spans="4:5" x14ac:dyDescent="0.25">
      <c r="E482" s="12"/>
    </row>
    <row r="483" spans="4:5" x14ac:dyDescent="0.25">
      <c r="E483" s="12"/>
    </row>
    <row r="484" spans="4:5" x14ac:dyDescent="0.25">
      <c r="E484" s="12"/>
    </row>
    <row r="485" spans="4:5" x14ac:dyDescent="0.25">
      <c r="E485" s="12"/>
    </row>
    <row r="486" spans="4:5" x14ac:dyDescent="0.25">
      <c r="E486" s="12"/>
    </row>
    <row r="487" spans="4:5" x14ac:dyDescent="0.25">
      <c r="E487" s="12"/>
    </row>
    <row r="488" spans="4:5" x14ac:dyDescent="0.25">
      <c r="E488" s="12"/>
    </row>
    <row r="489" spans="4:5" x14ac:dyDescent="0.25">
      <c r="E489" s="12"/>
    </row>
    <row r="490" spans="4:5" x14ac:dyDescent="0.25">
      <c r="E490" s="12"/>
    </row>
    <row r="491" spans="4:5" x14ac:dyDescent="0.25">
      <c r="E491" s="12"/>
    </row>
    <row r="492" spans="4:5" x14ac:dyDescent="0.25">
      <c r="E492" s="12"/>
    </row>
    <row r="493" spans="4:5" x14ac:dyDescent="0.25">
      <c r="E493" s="12"/>
    </row>
    <row r="494" spans="4:5" x14ac:dyDescent="0.25">
      <c r="E494" s="12"/>
    </row>
    <row r="495" spans="4:5" x14ac:dyDescent="0.25">
      <c r="E495" s="12"/>
    </row>
    <row r="496" spans="4:5" x14ac:dyDescent="0.25">
      <c r="E496" s="12"/>
    </row>
    <row r="497" spans="4:5" x14ac:dyDescent="0.25">
      <c r="E497" s="12"/>
    </row>
    <row r="498" spans="4:5" x14ac:dyDescent="0.25">
      <c r="E498" s="12"/>
    </row>
    <row r="499" spans="4:5" x14ac:dyDescent="0.25">
      <c r="E499" s="12"/>
    </row>
    <row r="500" spans="4:5" x14ac:dyDescent="0.25">
      <c r="E500" s="12"/>
    </row>
  </sheetData>
  <conditionalFormatting sqref="C2:E500">
    <cfRule type="expression" dxfId="4" priority="1">
      <formula>OR(AND(LEN($A2)&gt;0,LEN($A2)-LEN(SUBSTITUTE($A2,".",""))=0),AND(LEN($A2)&gt;0,LEN($A2)-LEN(SUBSTITUTE($A2,".",""))=1),AND(LEN($A2)&gt;0,LEN($A2)-LEN(SUBSTITUTE($A2,".",""))=2,LEN($E2)=0))</formula>
    </cfRule>
  </conditionalFormatting>
  <conditionalFormatting sqref="A2:E500">
    <cfRule type="expression" dxfId="5" priority="2">
      <formula>AND(LEN($A2)&gt;0,LEN($A2)-LEN(SUBSTITUTE($A2,".",""))=0)</formula>
    </cfRule>
    <cfRule type="expression" dxfId="6" priority="3">
      <formula>AND(LEN($A2)&gt;0,LEN($A2)-LEN(SUBSTITUTE($A2,".",""))=1)</formula>
    </cfRule>
    <cfRule type="expression" dxfId="7" priority="4">
      <formula>AND(LEN($A2)&gt;0,LEN($A2)-LEN(SUBSTITUTE($A2,".",""))=2,LEN($E2)=0)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RAB Tahap 1</vt:lpstr>
      <vt:lpstr>RAB Tahap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MonevDEB</dc:creator>
  <dc:title/>
  <dc:subject/>
  <dc:description/>
  <cp:keywords/>
  <cp:category/>
  <cp:lastModifiedBy>Unknown</cp:lastModifiedBy>
  <dcterms:created xsi:type="dcterms:W3CDTF">2026-09-19T03:53:49Z</dcterms:created>
  <dcterms:modified xsi:type="dcterms:W3CDTF">2026-09-19T03:53:49Z</dcterms:modified>
</cp:coreProperties>
</file>