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tunjuk" state="visible" r:id="rId4"/>
    <sheet sheetId="2" name="RAB 100%" state="visible" r:id="rId5"/>
    <sheet sheetId="3" name="RAB 70%" state="visible" r:id="rId6"/>
    <sheet sheetId="4" name="RAB 30%" state="visible" r:id="rId7"/>
  </sheets>
  <calcPr calcId="171027"/>
</workbook>
</file>

<file path=xl/sharedStrings.xml><?xml version="1.0" encoding="utf-8"?>
<sst xmlns="http://schemas.openxmlformats.org/spreadsheetml/2006/main" count="299" uniqueCount="85">
  <si>
    <t>RAB · Program Desa Energi Berdikari Sobat Bumi</t>
  </si>
  <si>
    <t>Format resmi Pertamina Foundation. RAB 100% sama dengan Nilai SK. RAB 70% paling banyak 70% dari Nilai SK, tepat, tanpa pembulatan. RAB 70% dan RAB 30% bersama sama sama dengan RAB 100%.</t>
  </si>
  <si>
    <t>Cara mengisi</t>
  </si>
  <si>
    <t>1. Isi tiga lembar dengan format resmi yang sama: RAB 100% (seluruh anggaran program), RAB 70% (bagian yang dicairkan di Tahap 1), RAB 30% (bagian Tahap 2). Satu baris untuk satu barang atau jasa.</t>
  </si>
  <si>
    <t>2. Kolom No memuat huruf kelompok (A, B, C), kolom berikutnya nomor kegiatan (1, 2) dan huruf sub kegiatan (a., b.). Nama barang ditulis di kolom URAIAN; nama kelompok, kegiatan, dan sub kegiatan di sebelah kanan nomornya, seperti pada contoh.</t>
  </si>
  <si>
    <t>3. PERHITUNGAN diisi per sel: angka, satuan, x, angka, satuan, x, angka, satuan (misalnya 1 Pkt x 25 Org x 2 Hari). VOLUME adalah hasil kalinya, dengan satuannya di sel sebelah kanan (PU, PO, OH).</t>
  </si>
  <si>
    <t>4. JUMLAH = VOLUME x HARGA SATUAN, dalam rupiah, angka saja. Baris Sub total, Jumlah, dan Total dihitung rumus; jangan diketik.</t>
  </si>
  <si>
    <t>5. Pakai nama kelompok, kegiatan, sub kegiatan, dan uraian yang sama di ketiga lembar agar tiap baris RAB 70% dan RAB 30% bertemu baris RAB 100% nya. Untuk tiap baris, RAB 70% + RAB 30% = RAB 100%.</t>
  </si>
  <si>
    <t>6. Ganti baris contoh dengan RAB kampus, isi nama universitas dan desa di atas tabel, simpan dengan nama RAB_&lt;kode kampus&gt;_v1.xlsx, lalu unggah di aplikasi pada butir RAB.</t>
  </si>
  <si>
    <t>Ringkasan</t>
  </si>
  <si>
    <t>Nilai SK (Rp)</t>
  </si>
  <si>
    <t>isi dari SK penetapan</t>
  </si>
  <si>
    <t>Batas Tahap 1 (70%)</t>
  </si>
  <si>
    <t>Total RAB 100%</t>
  </si>
  <si>
    <t>dari lembar RAB 100%</t>
  </si>
  <si>
    <t>Total RAB 70%</t>
  </si>
  <si>
    <t>dari lembar RAB 70%</t>
  </si>
  <si>
    <t>Total RAB 30%</t>
  </si>
  <si>
    <t>dari lembar RAB 30%</t>
  </si>
  <si>
    <t>RAB 70% + RAB 30%</t>
  </si>
  <si>
    <t>Sisa batas Tahap 1</t>
  </si>
  <si>
    <t>Selisih RAB 100% terhadap Nilai SK</t>
  </si>
  <si>
    <t>Keterangan RAB 100%</t>
  </si>
  <si>
    <t>Keterangan RAB 70%</t>
  </si>
  <si>
    <t>Keterangan RAB 70% + RAB 30%</t>
  </si>
  <si>
    <t>RAB PROGRAM DESA ENERGI BERDIKARI (DEB) SOBAT BUMI PERTAMINA</t>
  </si>
  <si>
    <t>UNIVERSITAS ……………………</t>
  </si>
  <si>
    <t>Desa ……………………</t>
  </si>
  <si>
    <t>Lembar RAB 100%</t>
  </si>
  <si>
    <t>No</t>
  </si>
  <si>
    <t>URAIAN KEGIATAN/ PROGRAM</t>
  </si>
  <si>
    <t>PERHITUNGAN</t>
  </si>
  <si>
    <t>VOLUME</t>
  </si>
  <si>
    <t>HARGA SATUAN</t>
  </si>
  <si>
    <t>JUMLAH</t>
  </si>
  <si>
    <t>A</t>
  </si>
  <si>
    <t>Bantuan Program</t>
  </si>
  <si>
    <t>1</t>
  </si>
  <si>
    <t>Kegiatan Pemberdayaan Masyarakat</t>
  </si>
  <si>
    <t>a.</t>
  </si>
  <si>
    <t>BioTani</t>
  </si>
  <si>
    <t>Sarung Tangan Karet</t>
  </si>
  <si>
    <t>Pkt</t>
  </si>
  <si>
    <t>x</t>
  </si>
  <si>
    <t>Unit</t>
  </si>
  <si>
    <t>Kali</t>
  </si>
  <si>
    <t>PU</t>
  </si>
  <si>
    <t>Tepung Tulang Ikan</t>
  </si>
  <si>
    <t>Sub total</t>
  </si>
  <si>
    <t>b.</t>
  </si>
  <si>
    <t>BioKreasi</t>
  </si>
  <si>
    <t>Tempat Studio Branding (Wadah + LED)</t>
  </si>
  <si>
    <t>Alas foto lipat uk 30 x 45cm</t>
  </si>
  <si>
    <t>Jumlah-1</t>
  </si>
  <si>
    <t>2</t>
  </si>
  <si>
    <t>Kegiatan Peningkatan Pembangunan EBT</t>
  </si>
  <si>
    <t>Dapur Usaha UMKM</t>
  </si>
  <si>
    <t>Selang Pompa Air 2 inch</t>
  </si>
  <si>
    <t>Jumlah-2</t>
  </si>
  <si>
    <t>Jumlah Bantuan Program</t>
  </si>
  <si>
    <t>B</t>
  </si>
  <si>
    <t>Bantuan Pendampingan</t>
  </si>
  <si>
    <t>Bantuan Transport</t>
  </si>
  <si>
    <t>Pelaksanaan kegiatan</t>
  </si>
  <si>
    <t>Org</t>
  </si>
  <si>
    <t>Hari</t>
  </si>
  <si>
    <t>PO</t>
  </si>
  <si>
    <t>Bantuan Mentoring Mentor</t>
  </si>
  <si>
    <t>Honor Pemateri</t>
  </si>
  <si>
    <t>Jumlah Bantuan Pendampingan</t>
  </si>
  <si>
    <t>C</t>
  </si>
  <si>
    <t>Biaya Pendukung</t>
  </si>
  <si>
    <t>Kegiatan Penurunan Emisi CO2</t>
  </si>
  <si>
    <t>Program Penanaman Pohon Buah</t>
  </si>
  <si>
    <t>Bibit Pohon</t>
  </si>
  <si>
    <t>Phn</t>
  </si>
  <si>
    <t>Konsumsi Penanaman</t>
  </si>
  <si>
    <t>Jumlah Biaya Pendukung</t>
  </si>
  <si>
    <t>Total Anggaran DEB Sobat Bumi Pertamina</t>
  </si>
  <si>
    <t>…........................, (DD-MM-YY)</t>
  </si>
  <si>
    <t>Tandatangan</t>
  </si>
  <si>
    <t>(Nama Mentor)</t>
  </si>
  <si>
    <t>(Nama Koordinator)</t>
  </si>
  <si>
    <t>Lembar RAB 70%</t>
  </si>
  <si>
    <t>Lembar RAB 30%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</si>
</sst>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0066B2"/>
      <sz val="14"/>
    </font>
    <font>
      <color rgb="FF475569"/>
    </font>
    <font>
      <b/>
      <color rgb="FF0066B2"/>
    </font>
    <font>
      <b/>
    </font>
    <font>
      <b/>
      <sz val="12"/>
    </font>
    <font>
      <i/>
      <color rgb="FF475569"/>
    </font>
    <font>
      <b/>
      <color rgb="FF0B2545"/>
    </font>
    <font>
      <b/>
      <i/>
    </font>
  </fonts>
  <fills count="5">
    <fill>
      <patternFill patternType="none"/>
    </fill>
    <fill>
      <patternFill patternType="gray125"/>
    </fill>
    <fill>
      <patternFill patternType="solid">
        <fgColor rgb="FFFFF7CC"/>
      </patternFill>
    </fill>
    <fill>
      <patternFill patternType="solid">
        <fgColor rgb="FFDFF0FF"/>
      </patternFill>
    </fill>
    <fill>
      <patternFill patternType="solid">
        <fgColor rgb="FFEEF3FA"/>
      </patternFill>
    </fill>
  </fills>
  <borders count="2">
    <border>
      <left/>
      <right/>
      <top/>
      <bottom/>
      <diagonal/>
    </border>
    <border>
      <left style="thin">
        <color rgb="FF8A96A8"/>
      </left>
      <right style="thin">
        <color rgb="FF8A96A8"/>
      </right>
      <top style="thin">
        <color rgb="FF8A96A8"/>
      </top>
      <bottom style="thin">
        <color rgb="FF8A96A8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vertical="top" wrapText="1"/>
    </xf>
    <xf numFmtId="0" fontId="4" fillId="0" borderId="0" xfId="0" applyFont="1"/>
    <xf numFmtId="3" fontId="0" fillId="2" borderId="1" xfId="0" applyNumberFormat="1" applyFill="1" applyBorder="1"/>
    <xf numFmtId="3" fontId="0" fillId="0" borderId="1" xfId="0" applyNumberFormat="1" applyBorder="1"/>
    <xf numFmtId="0" fontId="5" fillId="0" borderId="0" xfId="0" applyFont="1"/>
    <xf numFmtId="0" fontId="6" fillId="0" borderId="0" xfId="0" applyFont="1"/>
    <xf numFmtId="0" fontId="7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/>
    <xf numFmtId="3" fontId="4" fillId="4" borderId="1" xfId="0" applyNumberFormat="1" applyFont="1" applyFill="1" applyBorder="1"/>
    <xf numFmtId="0" fontId="4" fillId="0" borderId="1" xfId="0" applyFont="1" applyBorder="1"/>
    <xf numFmtId="3" fontId="4" fillId="0" borderId="1" xfId="0" applyNumberFormat="1" applyFont="1" applyBorder="1"/>
    <xf numFmtId="0" fontId="0" fillId="0" borderId="1" xfId="0" applyBorder="1"/>
    <xf numFmtId="0" fontId="8" fillId="0" borderId="1" xfId="0" applyFont="1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right"/>
    </xf>
    <xf numFmtId="0" fontId="4" fillId="4" borderId="1" xfId="0" applyFont="1" applyFill="1" applyBorder="1" applyAlignment="1">
      <alignment horizontal="right"/>
    </xf>
    <xf numFmtId="0" fontId="4" fillId="3" borderId="1" xfId="0" applyFont="1" applyFill="1" applyBorder="1"/>
    <xf numFmtId="0" fontId="4" fillId="3" borderId="1" xfId="0" applyFont="1" applyFill="1" applyBorder="1" applyAlignment="1">
      <alignment horizontal="right"/>
    </xf>
    <xf numFmtId="3" fontId="4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workbookViewId="0" showGridLines="0"/>
  </sheetViews>
  <sheetFormatPr defaultRowHeight="15" outlineLevelRow="0" outlineLevelCol="0" x14ac:dyDescent="55"/>
  <cols>
    <col min="1" max="1" width="34" customWidth="1"/>
    <col min="2" max="2" width="18" customWidth="1"/>
    <col min="3" max="3" width="40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4" spans="1:1" x14ac:dyDescent="0.25">
      <c r="A4" s="3" t="s">
        <v>2</v>
      </c>
    </row>
    <row r="5" ht="34" customHeight="1" spans="1:3" x14ac:dyDescent="0.25">
      <c r="A5" s="4" t="s">
        <v>3</v>
      </c>
      <c r="B5" s="4"/>
      <c r="C5" s="4"/>
    </row>
    <row r="6" ht="34" customHeight="1" spans="1:3" x14ac:dyDescent="0.25">
      <c r="A6" s="4" t="s">
        <v>4</v>
      </c>
      <c r="B6" s="4"/>
      <c r="C6" s="4"/>
    </row>
    <row r="7" ht="34" customHeight="1" spans="1:3" x14ac:dyDescent="0.25">
      <c r="A7" s="4" t="s">
        <v>5</v>
      </c>
      <c r="B7" s="4"/>
      <c r="C7" s="4"/>
    </row>
    <row r="8" ht="34" customHeight="1" spans="1:3" x14ac:dyDescent="0.25">
      <c r="A8" s="4" t="s">
        <v>6</v>
      </c>
      <c r="B8" s="4"/>
      <c r="C8" s="4"/>
    </row>
    <row r="9" ht="34" customHeight="1" spans="1:3" x14ac:dyDescent="0.25">
      <c r="A9" s="4" t="s">
        <v>7</v>
      </c>
      <c r="B9" s="4"/>
      <c r="C9" s="4"/>
    </row>
    <row r="10" ht="34" customHeight="1" spans="1:3" x14ac:dyDescent="0.25">
      <c r="A10" s="4" t="s">
        <v>8</v>
      </c>
      <c r="B10" s="4"/>
      <c r="C10" s="4"/>
    </row>
    <row r="12" spans="1:1" x14ac:dyDescent="0.25">
      <c r="A12" s="3" t="s">
        <v>9</v>
      </c>
    </row>
    <row r="13" spans="1:3" x14ac:dyDescent="0.25">
      <c r="A13" s="5" t="s">
        <v>10</v>
      </c>
      <c r="B13" s="6"/>
      <c r="C13" s="2" t="s">
        <v>11</v>
      </c>
    </row>
    <row r="14" spans="1:2" x14ac:dyDescent="0.25">
      <c r="A14" s="5" t="s">
        <v>12</v>
      </c>
      <c r="B14" s="7">
        <f>B13*70%</f>
      </c>
    </row>
    <row r="15" spans="1:3" x14ac:dyDescent="0.25">
      <c r="A15" s="5" t="s">
        <v>13</v>
      </c>
      <c r="B15" s="7">
        <f>SUMIF('RAB 100%'!P:P,"?*",'RAB 100%'!R:R)</f>
      </c>
      <c r="C15" s="2" t="s">
        <v>14</v>
      </c>
    </row>
    <row r="16" spans="1:3" x14ac:dyDescent="0.25">
      <c r="A16" s="5" t="s">
        <v>15</v>
      </c>
      <c r="B16" s="7">
        <f>SUMIF('RAB 70%'!P:P,"?*",'RAB 70%'!R:R)</f>
      </c>
      <c r="C16" s="2" t="s">
        <v>16</v>
      </c>
    </row>
    <row r="17" spans="1:3" x14ac:dyDescent="0.25">
      <c r="A17" s="5" t="s">
        <v>17</v>
      </c>
      <c r="B17" s="7">
        <f>SUMIF('RAB 30%'!P:P,"?*",'RAB 30%'!R:R)</f>
      </c>
      <c r="C17" s="2" t="s">
        <v>18</v>
      </c>
    </row>
    <row r="18" spans="1:2" x14ac:dyDescent="0.25">
      <c r="A18" s="5" t="s">
        <v>19</v>
      </c>
      <c r="B18" s="7">
        <f>B16+B17</f>
      </c>
    </row>
    <row r="19" spans="1:2" x14ac:dyDescent="0.25">
      <c r="A19" s="5" t="s">
        <v>20</v>
      </c>
      <c r="B19" s="7">
        <f>B14-B16</f>
      </c>
    </row>
    <row r="20" spans="1:2" x14ac:dyDescent="0.25">
      <c r="A20" s="5" t="s">
        <v>21</v>
      </c>
      <c r="B20" s="7">
        <f>B13-B15</f>
      </c>
    </row>
    <row r="21" spans="1:2" x14ac:dyDescent="0.25">
      <c r="A21" s="5" t="s">
        <v>22</v>
      </c>
      <c r="B21" s="7">
        <f>IF(B13=0,"Isi Nilai SK dulu",IF(B15=B13,"Sama dengan Nilai SK",IF(B15&lt;B13,"Di bawah Nilai SK","Di atas Nilai SK")))</f>
      </c>
    </row>
    <row r="22" spans="1:2" x14ac:dyDescent="0.25">
      <c r="A22" s="5" t="s">
        <v>23</v>
      </c>
      <c r="B22" s="7">
        <f>IF(B13=0,"Isi Nilai SK dulu",IF(B16&lt;=B14,"Tidak melebihi batas","Melebihi batas"))</f>
      </c>
    </row>
    <row r="23" spans="1:2" x14ac:dyDescent="0.25">
      <c r="A23" s="5" t="s">
        <v>24</v>
      </c>
      <c r="B23" s="7">
        <f>IF(B18=B15,"Sama dengan RAB 100%","Berbeda dari RAB 100%")</f>
      </c>
    </row>
  </sheetData>
  <mergeCells count="6">
    <mergeCell ref="A5:C5"/>
    <mergeCell ref="A6:C6"/>
    <mergeCell ref="A7:C7"/>
    <mergeCell ref="A8:C8"/>
    <mergeCell ref="A9:C9"/>
    <mergeCell ref="A10:C1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R53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1.7" customWidth="1"/>
    <col min="2" max="2" width="4.4" customWidth="1"/>
    <col min="3" max="4" width="2.7" customWidth="1"/>
    <col min="5" max="5" width="3.4" customWidth="1"/>
    <col min="6" max="6" width="39" customWidth="1"/>
    <col min="7" max="7" width="5.9" customWidth="1"/>
    <col min="8" max="8" width="4.7" customWidth="1"/>
    <col min="9" max="9" width="2.4" customWidth="1"/>
    <col min="10" max="10" width="4.3" customWidth="1"/>
    <col min="11" max="11" width="5.1" customWidth="1"/>
    <col min="12" max="12" width="3" customWidth="1"/>
    <col min="13" max="13" width="4" customWidth="1"/>
    <col min="14" max="14" width="4.7" customWidth="1"/>
    <col min="15" max="15" width="8.4" customWidth="1"/>
    <col min="16" max="16" width="4.1" customWidth="1"/>
    <col min="17" max="17" width="12.4" customWidth="1"/>
    <col min="18" max="18" width="13.1" customWidth="1"/>
  </cols>
  <sheetData>
    <row r="4" spans="2:2" x14ac:dyDescent="0.25">
      <c r="B4" s="8" t="s">
        <v>25</v>
      </c>
    </row>
    <row r="5" spans="2:2" x14ac:dyDescent="0.25">
      <c r="B5" s="5" t="s">
        <v>26</v>
      </c>
    </row>
    <row r="6" spans="2:2" x14ac:dyDescent="0.25">
      <c r="B6" t="s">
        <v>27</v>
      </c>
    </row>
    <row r="7" spans="2:2" x14ac:dyDescent="0.25">
      <c r="B7" s="9" t="s">
        <v>28</v>
      </c>
    </row>
    <row r="8" ht="18" customHeight="1" spans="2:18" x14ac:dyDescent="0.25">
      <c r="B8" s="10" t="s">
        <v>29</v>
      </c>
      <c r="C8" s="10" t="s">
        <v>30</v>
      </c>
      <c r="D8" s="10"/>
      <c r="E8" s="10"/>
      <c r="F8" s="10"/>
      <c r="G8" s="10" t="s">
        <v>31</v>
      </c>
      <c r="H8" s="10"/>
      <c r="I8" s="10"/>
      <c r="J8" s="10"/>
      <c r="K8" s="10"/>
      <c r="L8" s="10"/>
      <c r="M8" s="10"/>
      <c r="N8" s="10"/>
      <c r="O8" s="10" t="s">
        <v>32</v>
      </c>
      <c r="P8" s="10"/>
      <c r="Q8" s="10" t="s">
        <v>33</v>
      </c>
      <c r="R8" s="10" t="s">
        <v>34</v>
      </c>
    </row>
    <row r="9" ht="18" customHeight="1" spans="2:18" x14ac:dyDescent="0.25"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</row>
    <row r="10" spans="2:18" x14ac:dyDescent="0.25">
      <c r="B10" s="11" t="s">
        <v>35</v>
      </c>
      <c r="C10" s="11" t="s">
        <v>36</v>
      </c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2"/>
      <c r="P10" s="11"/>
      <c r="Q10" s="12"/>
      <c r="R10" s="12"/>
    </row>
    <row r="11" spans="2:18" x14ac:dyDescent="0.25">
      <c r="B11" s="13"/>
      <c r="C11" s="13" t="s">
        <v>37</v>
      </c>
      <c r="D11" s="13" t="s">
        <v>38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4"/>
      <c r="P11" s="13"/>
      <c r="Q11" s="14"/>
      <c r="R11" s="14"/>
    </row>
    <row r="12" spans="2:18" x14ac:dyDescent="0.25">
      <c r="B12" s="15"/>
      <c r="C12" s="15"/>
      <c r="D12" s="15" t="s">
        <v>39</v>
      </c>
      <c r="E12" s="16" t="s">
        <v>40</v>
      </c>
      <c r="F12" s="15"/>
      <c r="G12" s="15"/>
      <c r="H12" s="15"/>
      <c r="I12" s="15"/>
      <c r="J12" s="15"/>
      <c r="K12" s="15"/>
      <c r="L12" s="15"/>
      <c r="M12" s="15"/>
      <c r="N12" s="15"/>
      <c r="O12" s="7"/>
      <c r="P12" s="15"/>
      <c r="Q12" s="7"/>
      <c r="R12" s="7"/>
    </row>
    <row r="13" spans="2:18" x14ac:dyDescent="0.25">
      <c r="B13" s="15"/>
      <c r="C13" s="15"/>
      <c r="D13" s="15"/>
      <c r="E13" s="15"/>
      <c r="F13" s="15" t="s">
        <v>41</v>
      </c>
      <c r="G13" s="17">
        <v>1</v>
      </c>
      <c r="H13" s="17" t="s">
        <v>42</v>
      </c>
      <c r="I13" s="18" t="s">
        <v>43</v>
      </c>
      <c r="J13" s="17">
        <v>10</v>
      </c>
      <c r="K13" s="17" t="s">
        <v>44</v>
      </c>
      <c r="L13" s="18" t="s">
        <v>43</v>
      </c>
      <c r="M13" s="17">
        <v>1</v>
      </c>
      <c r="N13" s="17" t="s">
        <v>45</v>
      </c>
      <c r="O13" s="7">
        <v>10</v>
      </c>
      <c r="P13" s="15" t="s">
        <v>46</v>
      </c>
      <c r="Q13" s="7">
        <v>20000</v>
      </c>
      <c r="R13" s="7">
        <f>O13*Q13</f>
        <v>200000</v>
      </c>
    </row>
    <row r="14" spans="2:18" x14ac:dyDescent="0.25">
      <c r="B14" s="15"/>
      <c r="C14" s="15"/>
      <c r="D14" s="15"/>
      <c r="E14" s="15"/>
      <c r="F14" s="15" t="s">
        <v>47</v>
      </c>
      <c r="G14" s="17">
        <v>1</v>
      </c>
      <c r="H14" s="17" t="s">
        <v>42</v>
      </c>
      <c r="I14" s="18" t="s">
        <v>43</v>
      </c>
      <c r="J14" s="17">
        <v>8</v>
      </c>
      <c r="K14" s="17" t="s">
        <v>44</v>
      </c>
      <c r="L14" s="18" t="s">
        <v>43</v>
      </c>
      <c r="M14" s="17">
        <v>1</v>
      </c>
      <c r="N14" s="17" t="s">
        <v>45</v>
      </c>
      <c r="O14" s="7">
        <v>8</v>
      </c>
      <c r="P14" s="15" t="s">
        <v>46</v>
      </c>
      <c r="Q14" s="7">
        <v>25000</v>
      </c>
      <c r="R14" s="7">
        <f>O14*Q14</f>
        <v>200000</v>
      </c>
    </row>
    <row r="15" spans="2:18" x14ac:dyDescent="0.25">
      <c r="B15" s="13"/>
      <c r="C15" s="13"/>
      <c r="D15" s="13"/>
      <c r="E15" s="13"/>
      <c r="F15" s="19" t="s">
        <v>48</v>
      </c>
      <c r="G15" s="13"/>
      <c r="H15" s="13"/>
      <c r="I15" s="13"/>
      <c r="J15" s="13"/>
      <c r="K15" s="13"/>
      <c r="L15" s="13"/>
      <c r="M15" s="13"/>
      <c r="N15" s="13"/>
      <c r="O15" s="14"/>
      <c r="P15" s="13"/>
      <c r="Q15" s="14"/>
      <c r="R15" s="14">
        <f>SUM(R13:R14)</f>
      </c>
    </row>
    <row r="16" spans="2:18" x14ac:dyDescent="0.25">
      <c r="B16" s="15"/>
      <c r="C16" s="15"/>
      <c r="D16" s="15" t="s">
        <v>49</v>
      </c>
      <c r="E16" s="16" t="s">
        <v>50</v>
      </c>
      <c r="F16" s="15"/>
      <c r="G16" s="15"/>
      <c r="H16" s="15"/>
      <c r="I16" s="15"/>
      <c r="J16" s="15"/>
      <c r="K16" s="15"/>
      <c r="L16" s="15"/>
      <c r="M16" s="15"/>
      <c r="N16" s="15"/>
      <c r="O16" s="7"/>
      <c r="P16" s="15"/>
      <c r="Q16" s="7"/>
      <c r="R16" s="7"/>
    </row>
    <row r="17" spans="2:18" x14ac:dyDescent="0.25">
      <c r="B17" s="15"/>
      <c r="C17" s="15"/>
      <c r="D17" s="15"/>
      <c r="E17" s="15"/>
      <c r="F17" s="15" t="s">
        <v>51</v>
      </c>
      <c r="G17" s="17">
        <v>1</v>
      </c>
      <c r="H17" s="17" t="s">
        <v>42</v>
      </c>
      <c r="I17" s="18" t="s">
        <v>43</v>
      </c>
      <c r="J17" s="17">
        <v>2</v>
      </c>
      <c r="K17" s="17" t="s">
        <v>44</v>
      </c>
      <c r="L17" s="18" t="s">
        <v>43</v>
      </c>
      <c r="M17" s="17">
        <v>1</v>
      </c>
      <c r="N17" s="17" t="s">
        <v>45</v>
      </c>
      <c r="O17" s="7">
        <v>2</v>
      </c>
      <c r="P17" s="15" t="s">
        <v>46</v>
      </c>
      <c r="Q17" s="7">
        <v>30000</v>
      </c>
      <c r="R17" s="7">
        <f>O17*Q17</f>
        <v>60000</v>
      </c>
    </row>
    <row r="18" spans="2:18" x14ac:dyDescent="0.25">
      <c r="B18" s="15"/>
      <c r="C18" s="15"/>
      <c r="D18" s="15"/>
      <c r="E18" s="15"/>
      <c r="F18" s="15" t="s">
        <v>52</v>
      </c>
      <c r="G18" s="17">
        <v>1</v>
      </c>
      <c r="H18" s="17" t="s">
        <v>42</v>
      </c>
      <c r="I18" s="18" t="s">
        <v>43</v>
      </c>
      <c r="J18" s="17">
        <v>2</v>
      </c>
      <c r="K18" s="17" t="s">
        <v>44</v>
      </c>
      <c r="L18" s="18" t="s">
        <v>43</v>
      </c>
      <c r="M18" s="17">
        <v>1</v>
      </c>
      <c r="N18" s="17" t="s">
        <v>45</v>
      </c>
      <c r="O18" s="7">
        <v>2</v>
      </c>
      <c r="P18" s="15" t="s">
        <v>46</v>
      </c>
      <c r="Q18" s="7">
        <v>25000</v>
      </c>
      <c r="R18" s="7">
        <f>O18*Q18</f>
        <v>50000</v>
      </c>
    </row>
    <row r="19" spans="2:18" x14ac:dyDescent="0.25">
      <c r="B19" s="13"/>
      <c r="C19" s="13"/>
      <c r="D19" s="13"/>
      <c r="E19" s="13"/>
      <c r="F19" s="19" t="s">
        <v>48</v>
      </c>
      <c r="G19" s="13"/>
      <c r="H19" s="13"/>
      <c r="I19" s="13"/>
      <c r="J19" s="13"/>
      <c r="K19" s="13"/>
      <c r="L19" s="13"/>
      <c r="M19" s="13"/>
      <c r="N19" s="13"/>
      <c r="O19" s="14"/>
      <c r="P19" s="13"/>
      <c r="Q19" s="14"/>
      <c r="R19" s="14">
        <f>SUM(R17:R18)</f>
      </c>
    </row>
    <row r="20" spans="2:18" x14ac:dyDescent="0.25">
      <c r="B20" s="13"/>
      <c r="C20" s="13"/>
      <c r="D20" s="13"/>
      <c r="E20" s="13"/>
      <c r="F20" s="19" t="s">
        <v>53</v>
      </c>
      <c r="G20" s="13"/>
      <c r="H20" s="13"/>
      <c r="I20" s="13"/>
      <c r="J20" s="13"/>
      <c r="K20" s="13"/>
      <c r="L20" s="13"/>
      <c r="M20" s="13"/>
      <c r="N20" s="13"/>
      <c r="O20" s="14"/>
      <c r="P20" s="13"/>
      <c r="Q20" s="14"/>
      <c r="R20" s="14">
        <f>R15+R19</f>
      </c>
    </row>
    <row r="21" spans="2:18" x14ac:dyDescent="0.25">
      <c r="B21" s="13"/>
      <c r="C21" s="13" t="s">
        <v>54</v>
      </c>
      <c r="D21" s="13" t="s">
        <v>55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4"/>
      <c r="P21" s="13"/>
      <c r="Q21" s="14"/>
      <c r="R21" s="14"/>
    </row>
    <row r="22" spans="2:18" x14ac:dyDescent="0.25">
      <c r="B22" s="15"/>
      <c r="C22" s="15"/>
      <c r="D22" s="15" t="s">
        <v>39</v>
      </c>
      <c r="E22" s="16" t="s">
        <v>56</v>
      </c>
      <c r="F22" s="15"/>
      <c r="G22" s="15"/>
      <c r="H22" s="15"/>
      <c r="I22" s="15"/>
      <c r="J22" s="15"/>
      <c r="K22" s="15"/>
      <c r="L22" s="15"/>
      <c r="M22" s="15"/>
      <c r="N22" s="15"/>
      <c r="O22" s="7"/>
      <c r="P22" s="15"/>
      <c r="Q22" s="7"/>
      <c r="R22" s="7"/>
    </row>
    <row r="23" spans="2:18" x14ac:dyDescent="0.25">
      <c r="B23" s="15"/>
      <c r="C23" s="15"/>
      <c r="D23" s="15"/>
      <c r="E23" s="15"/>
      <c r="F23" s="15" t="s">
        <v>57</v>
      </c>
      <c r="G23" s="17">
        <v>1</v>
      </c>
      <c r="H23" s="17" t="s">
        <v>42</v>
      </c>
      <c r="I23" s="18" t="s">
        <v>43</v>
      </c>
      <c r="J23" s="17">
        <v>20</v>
      </c>
      <c r="K23" s="17" t="s">
        <v>44</v>
      </c>
      <c r="L23" s="18" t="s">
        <v>43</v>
      </c>
      <c r="M23" s="17">
        <v>1</v>
      </c>
      <c r="N23" s="17" t="s">
        <v>45</v>
      </c>
      <c r="O23" s="7">
        <v>20</v>
      </c>
      <c r="P23" s="15" t="s">
        <v>46</v>
      </c>
      <c r="Q23" s="7">
        <v>80000</v>
      </c>
      <c r="R23" s="7">
        <f>O23*Q23</f>
        <v>1600000</v>
      </c>
    </row>
    <row r="24" spans="2:18" x14ac:dyDescent="0.25">
      <c r="B24" s="13"/>
      <c r="C24" s="13"/>
      <c r="D24" s="13"/>
      <c r="E24" s="13"/>
      <c r="F24" s="19" t="s">
        <v>48</v>
      </c>
      <c r="G24" s="13"/>
      <c r="H24" s="13"/>
      <c r="I24" s="13"/>
      <c r="J24" s="13"/>
      <c r="K24" s="13"/>
      <c r="L24" s="13"/>
      <c r="M24" s="13"/>
      <c r="N24" s="13"/>
      <c r="O24" s="14"/>
      <c r="P24" s="13"/>
      <c r="Q24" s="14"/>
      <c r="R24" s="14">
        <f>R23</f>
      </c>
    </row>
    <row r="25" spans="2:18" x14ac:dyDescent="0.25">
      <c r="B25" s="13"/>
      <c r="C25" s="13"/>
      <c r="D25" s="13"/>
      <c r="E25" s="13"/>
      <c r="F25" s="19" t="s">
        <v>58</v>
      </c>
      <c r="G25" s="13"/>
      <c r="H25" s="13"/>
      <c r="I25" s="13"/>
      <c r="J25" s="13"/>
      <c r="K25" s="13"/>
      <c r="L25" s="13"/>
      <c r="M25" s="13"/>
      <c r="N25" s="13"/>
      <c r="O25" s="14"/>
      <c r="P25" s="13"/>
      <c r="Q25" s="14"/>
      <c r="R25" s="14">
        <f>R24</f>
      </c>
    </row>
    <row r="26" spans="2:18" x14ac:dyDescent="0.25">
      <c r="B26" s="11"/>
      <c r="C26" s="11"/>
      <c r="D26" s="11"/>
      <c r="E26" s="11"/>
      <c r="F26" s="20" t="s">
        <v>59</v>
      </c>
      <c r="G26" s="11"/>
      <c r="H26" s="11"/>
      <c r="I26" s="11"/>
      <c r="J26" s="11"/>
      <c r="K26" s="11"/>
      <c r="L26" s="11"/>
      <c r="M26" s="11"/>
      <c r="N26" s="11"/>
      <c r="O26" s="12"/>
      <c r="P26" s="11"/>
      <c r="Q26" s="12"/>
      <c r="R26" s="12">
        <f>R20+R25</f>
      </c>
    </row>
    <row r="27" spans="2:18" x14ac:dyDescent="0.25">
      <c r="B27" s="11" t="s">
        <v>60</v>
      </c>
      <c r="C27" s="11" t="s">
        <v>61</v>
      </c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2"/>
      <c r="P27" s="11"/>
      <c r="Q27" s="12"/>
      <c r="R27" s="12"/>
    </row>
    <row r="28" spans="2:18" x14ac:dyDescent="0.25">
      <c r="B28" s="13"/>
      <c r="C28" s="13" t="s">
        <v>37</v>
      </c>
      <c r="D28" s="13" t="s">
        <v>62</v>
      </c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4"/>
      <c r="P28" s="13"/>
      <c r="Q28" s="14"/>
      <c r="R28" s="14"/>
    </row>
    <row r="29" spans="2:18" x14ac:dyDescent="0.25">
      <c r="B29" s="15"/>
      <c r="C29" s="15"/>
      <c r="D29" s="15"/>
      <c r="E29" s="15"/>
      <c r="F29" s="15" t="s">
        <v>63</v>
      </c>
      <c r="G29" s="17">
        <v>28</v>
      </c>
      <c r="H29" s="17" t="s">
        <v>64</v>
      </c>
      <c r="I29" s="18" t="s">
        <v>43</v>
      </c>
      <c r="J29" s="17">
        <v>3</v>
      </c>
      <c r="K29" s="17" t="s">
        <v>65</v>
      </c>
      <c r="L29" s="18" t="s">
        <v>43</v>
      </c>
      <c r="M29" s="17">
        <v>1</v>
      </c>
      <c r="N29" s="17" t="s">
        <v>45</v>
      </c>
      <c r="O29" s="7">
        <v>84</v>
      </c>
      <c r="P29" s="15" t="s">
        <v>66</v>
      </c>
      <c r="Q29" s="7">
        <v>20000</v>
      </c>
      <c r="R29" s="7">
        <f>O29*Q29</f>
        <v>1680000</v>
      </c>
    </row>
    <row r="30" spans="2:18" x14ac:dyDescent="0.25">
      <c r="B30" s="13"/>
      <c r="C30" s="13"/>
      <c r="D30" s="13"/>
      <c r="E30" s="13"/>
      <c r="F30" s="19" t="s">
        <v>48</v>
      </c>
      <c r="G30" s="13"/>
      <c r="H30" s="13"/>
      <c r="I30" s="13"/>
      <c r="J30" s="13"/>
      <c r="K30" s="13"/>
      <c r="L30" s="13"/>
      <c r="M30" s="13"/>
      <c r="N30" s="13"/>
      <c r="O30" s="14"/>
      <c r="P30" s="13"/>
      <c r="Q30" s="14"/>
      <c r="R30" s="14">
        <f>R29</f>
      </c>
    </row>
    <row r="31" spans="2:18" x14ac:dyDescent="0.25">
      <c r="B31" s="13"/>
      <c r="C31" s="13"/>
      <c r="D31" s="13"/>
      <c r="E31" s="13"/>
      <c r="F31" s="19" t="s">
        <v>53</v>
      </c>
      <c r="G31" s="13"/>
      <c r="H31" s="13"/>
      <c r="I31" s="13"/>
      <c r="J31" s="13"/>
      <c r="K31" s="13"/>
      <c r="L31" s="13"/>
      <c r="M31" s="13"/>
      <c r="N31" s="13"/>
      <c r="O31" s="14"/>
      <c r="P31" s="13"/>
      <c r="Q31" s="14"/>
      <c r="R31" s="14">
        <f>R30</f>
      </c>
    </row>
    <row r="32" spans="2:18" x14ac:dyDescent="0.25">
      <c r="B32" s="13"/>
      <c r="C32" s="13" t="s">
        <v>54</v>
      </c>
      <c r="D32" s="13" t="s">
        <v>67</v>
      </c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4"/>
      <c r="P32" s="13"/>
      <c r="Q32" s="14"/>
      <c r="R32" s="14"/>
    </row>
    <row r="33" spans="2:18" x14ac:dyDescent="0.25">
      <c r="B33" s="15"/>
      <c r="C33" s="15"/>
      <c r="D33" s="15"/>
      <c r="E33" s="15"/>
      <c r="F33" s="15" t="s">
        <v>68</v>
      </c>
      <c r="G33" s="17">
        <v>1</v>
      </c>
      <c r="H33" s="17" t="s">
        <v>42</v>
      </c>
      <c r="I33" s="18" t="s">
        <v>43</v>
      </c>
      <c r="J33" s="17">
        <v>1</v>
      </c>
      <c r="K33" s="17" t="s">
        <v>64</v>
      </c>
      <c r="L33" s="18" t="s">
        <v>43</v>
      </c>
      <c r="M33" s="17">
        <v>1</v>
      </c>
      <c r="N33" s="17" t="s">
        <v>45</v>
      </c>
      <c r="O33" s="7">
        <v>1</v>
      </c>
      <c r="P33" s="15" t="s">
        <v>66</v>
      </c>
      <c r="Q33" s="7">
        <v>350000</v>
      </c>
      <c r="R33" s="7">
        <f>O33*Q33</f>
        <v>350000</v>
      </c>
    </row>
    <row r="34" spans="2:18" x14ac:dyDescent="0.25">
      <c r="B34" s="13"/>
      <c r="C34" s="13"/>
      <c r="D34" s="13"/>
      <c r="E34" s="13"/>
      <c r="F34" s="19" t="s">
        <v>48</v>
      </c>
      <c r="G34" s="13"/>
      <c r="H34" s="13"/>
      <c r="I34" s="13"/>
      <c r="J34" s="13"/>
      <c r="K34" s="13"/>
      <c r="L34" s="13"/>
      <c r="M34" s="13"/>
      <c r="N34" s="13"/>
      <c r="O34" s="14"/>
      <c r="P34" s="13"/>
      <c r="Q34" s="14"/>
      <c r="R34" s="14">
        <f>R33</f>
      </c>
    </row>
    <row r="35" spans="2:18" x14ac:dyDescent="0.25">
      <c r="B35" s="13"/>
      <c r="C35" s="13"/>
      <c r="D35" s="13"/>
      <c r="E35" s="13"/>
      <c r="F35" s="19" t="s">
        <v>58</v>
      </c>
      <c r="G35" s="13"/>
      <c r="H35" s="13"/>
      <c r="I35" s="13"/>
      <c r="J35" s="13"/>
      <c r="K35" s="13"/>
      <c r="L35" s="13"/>
      <c r="M35" s="13"/>
      <c r="N35" s="13"/>
      <c r="O35" s="14"/>
      <c r="P35" s="13"/>
      <c r="Q35" s="14"/>
      <c r="R35" s="14">
        <f>R34</f>
      </c>
    </row>
    <row r="36" spans="2:18" x14ac:dyDescent="0.25">
      <c r="B36" s="11"/>
      <c r="C36" s="11"/>
      <c r="D36" s="11"/>
      <c r="E36" s="11"/>
      <c r="F36" s="20" t="s">
        <v>69</v>
      </c>
      <c r="G36" s="11"/>
      <c r="H36" s="11"/>
      <c r="I36" s="11"/>
      <c r="J36" s="11"/>
      <c r="K36" s="11"/>
      <c r="L36" s="11"/>
      <c r="M36" s="11"/>
      <c r="N36" s="11"/>
      <c r="O36" s="12"/>
      <c r="P36" s="11"/>
      <c r="Q36" s="12"/>
      <c r="R36" s="12">
        <f>R31+R35</f>
      </c>
    </row>
    <row r="37" spans="2:18" x14ac:dyDescent="0.25">
      <c r="B37" s="11" t="s">
        <v>70</v>
      </c>
      <c r="C37" s="11" t="s">
        <v>71</v>
      </c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2"/>
      <c r="P37" s="11"/>
      <c r="Q37" s="12"/>
      <c r="R37" s="12"/>
    </row>
    <row r="38" spans="2:18" x14ac:dyDescent="0.25">
      <c r="B38" s="13"/>
      <c r="C38" s="13" t="s">
        <v>37</v>
      </c>
      <c r="D38" s="13" t="s">
        <v>72</v>
      </c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4"/>
      <c r="P38" s="13"/>
      <c r="Q38" s="14"/>
      <c r="R38" s="14"/>
    </row>
    <row r="39" spans="2:18" x14ac:dyDescent="0.25">
      <c r="B39" s="15"/>
      <c r="C39" s="15"/>
      <c r="D39" s="15" t="s">
        <v>39</v>
      </c>
      <c r="E39" s="16" t="s">
        <v>73</v>
      </c>
      <c r="F39" s="15"/>
      <c r="G39" s="15"/>
      <c r="H39" s="15"/>
      <c r="I39" s="15"/>
      <c r="J39" s="15"/>
      <c r="K39" s="15"/>
      <c r="L39" s="15"/>
      <c r="M39" s="15"/>
      <c r="N39" s="15"/>
      <c r="O39" s="7"/>
      <c r="P39" s="15"/>
      <c r="Q39" s="7"/>
      <c r="R39" s="7"/>
    </row>
    <row r="40" spans="2:18" x14ac:dyDescent="0.25">
      <c r="B40" s="15"/>
      <c r="C40" s="15"/>
      <c r="D40" s="15"/>
      <c r="E40" s="15"/>
      <c r="F40" s="15" t="s">
        <v>74</v>
      </c>
      <c r="G40" s="17">
        <v>1</v>
      </c>
      <c r="H40" s="17" t="s">
        <v>42</v>
      </c>
      <c r="I40" s="18" t="s">
        <v>43</v>
      </c>
      <c r="J40" s="17">
        <v>50</v>
      </c>
      <c r="K40" s="17" t="s">
        <v>75</v>
      </c>
      <c r="L40" s="18" t="s">
        <v>43</v>
      </c>
      <c r="M40" s="17">
        <v>1</v>
      </c>
      <c r="N40" s="17" t="s">
        <v>45</v>
      </c>
      <c r="O40" s="7">
        <v>50</v>
      </c>
      <c r="P40" s="15" t="s">
        <v>46</v>
      </c>
      <c r="Q40" s="7">
        <v>20000</v>
      </c>
      <c r="R40" s="7">
        <f>O40*Q40</f>
        <v>1000000</v>
      </c>
    </row>
    <row r="41" spans="2:18" x14ac:dyDescent="0.25">
      <c r="B41" s="15"/>
      <c r="C41" s="15"/>
      <c r="D41" s="15"/>
      <c r="E41" s="15"/>
      <c r="F41" s="15" t="s">
        <v>76</v>
      </c>
      <c r="G41" s="17">
        <v>1</v>
      </c>
      <c r="H41" s="17" t="s">
        <v>42</v>
      </c>
      <c r="I41" s="18" t="s">
        <v>43</v>
      </c>
      <c r="J41" s="17">
        <v>30</v>
      </c>
      <c r="K41" s="17" t="s">
        <v>64</v>
      </c>
      <c r="L41" s="18" t="s">
        <v>43</v>
      </c>
      <c r="M41" s="17">
        <v>1</v>
      </c>
      <c r="N41" s="17" t="s">
        <v>45</v>
      </c>
      <c r="O41" s="7">
        <v>30</v>
      </c>
      <c r="P41" s="15" t="s">
        <v>46</v>
      </c>
      <c r="Q41" s="7">
        <v>25000</v>
      </c>
      <c r="R41" s="7">
        <f>O41*Q41</f>
        <v>750000</v>
      </c>
    </row>
    <row r="42" spans="2:18" x14ac:dyDescent="0.25">
      <c r="B42" s="13"/>
      <c r="C42" s="13"/>
      <c r="D42" s="13"/>
      <c r="E42" s="13"/>
      <c r="F42" s="19" t="s">
        <v>48</v>
      </c>
      <c r="G42" s="13"/>
      <c r="H42" s="13"/>
      <c r="I42" s="13"/>
      <c r="J42" s="13"/>
      <c r="K42" s="13"/>
      <c r="L42" s="13"/>
      <c r="M42" s="13"/>
      <c r="N42" s="13"/>
      <c r="O42" s="14"/>
      <c r="P42" s="13"/>
      <c r="Q42" s="14"/>
      <c r="R42" s="14">
        <f>SUM(R40:R41)</f>
      </c>
    </row>
    <row r="43" spans="2:18" x14ac:dyDescent="0.25">
      <c r="B43" s="13"/>
      <c r="C43" s="13"/>
      <c r="D43" s="13"/>
      <c r="E43" s="13"/>
      <c r="F43" s="19" t="s">
        <v>53</v>
      </c>
      <c r="G43" s="13"/>
      <c r="H43" s="13"/>
      <c r="I43" s="13"/>
      <c r="J43" s="13"/>
      <c r="K43" s="13"/>
      <c r="L43" s="13"/>
      <c r="M43" s="13"/>
      <c r="N43" s="13"/>
      <c r="O43" s="14"/>
      <c r="P43" s="13"/>
      <c r="Q43" s="14"/>
      <c r="R43" s="14">
        <f>R42</f>
      </c>
    </row>
    <row r="44" spans="2:18" x14ac:dyDescent="0.25">
      <c r="B44" s="11"/>
      <c r="C44" s="11"/>
      <c r="D44" s="11"/>
      <c r="E44" s="11"/>
      <c r="F44" s="20" t="s">
        <v>77</v>
      </c>
      <c r="G44" s="11"/>
      <c r="H44" s="11"/>
      <c r="I44" s="11"/>
      <c r="J44" s="11"/>
      <c r="K44" s="11"/>
      <c r="L44" s="11"/>
      <c r="M44" s="11"/>
      <c r="N44" s="11"/>
      <c r="O44" s="12"/>
      <c r="P44" s="11"/>
      <c r="Q44" s="12"/>
      <c r="R44" s="12">
        <f>R43</f>
      </c>
    </row>
    <row r="45" spans="2:18" x14ac:dyDescent="0.25">
      <c r="B45" s="21"/>
      <c r="C45" s="21"/>
      <c r="D45" s="21"/>
      <c r="E45" s="21"/>
      <c r="F45" s="22" t="s">
        <v>78</v>
      </c>
      <c r="G45" s="21"/>
      <c r="H45" s="21"/>
      <c r="I45" s="21"/>
      <c r="J45" s="21"/>
      <c r="K45" s="21"/>
      <c r="L45" s="21"/>
      <c r="M45" s="21"/>
      <c r="N45" s="21"/>
      <c r="O45" s="23"/>
      <c r="P45" s="21"/>
      <c r="Q45" s="23"/>
      <c r="R45" s="23">
        <f>R26+R36+R44</f>
      </c>
    </row>
    <row r="47" spans="12:12" x14ac:dyDescent="0.25">
      <c r="L47" t="s">
        <v>79</v>
      </c>
    </row>
    <row r="49" spans="6:12" x14ac:dyDescent="0.25">
      <c r="F49" t="s">
        <v>80</v>
      </c>
      <c r="L49" t="s">
        <v>80</v>
      </c>
    </row>
    <row r="53" spans="6:12" x14ac:dyDescent="0.25">
      <c r="F53" t="s">
        <v>81</v>
      </c>
      <c r="L53" t="s">
        <v>82</v>
      </c>
    </row>
  </sheetData>
  <mergeCells count="6">
    <mergeCell ref="C8:F9"/>
    <mergeCell ref="G8:N9"/>
    <mergeCell ref="O8:P9"/>
    <mergeCell ref="B8:B9"/>
    <mergeCell ref="Q8:Q9"/>
    <mergeCell ref="R8:R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R48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1.7" customWidth="1"/>
    <col min="2" max="2" width="4.4" customWidth="1"/>
    <col min="3" max="4" width="2.7" customWidth="1"/>
    <col min="5" max="5" width="3.4" customWidth="1"/>
    <col min="6" max="6" width="39" customWidth="1"/>
    <col min="7" max="7" width="5.9" customWidth="1"/>
    <col min="8" max="8" width="4.7" customWidth="1"/>
    <col min="9" max="9" width="2.4" customWidth="1"/>
    <col min="10" max="10" width="4.3" customWidth="1"/>
    <col min="11" max="11" width="5.1" customWidth="1"/>
    <col min="12" max="12" width="3" customWidth="1"/>
    <col min="13" max="13" width="4" customWidth="1"/>
    <col min="14" max="14" width="4.7" customWidth="1"/>
    <col min="15" max="15" width="8.4" customWidth="1"/>
    <col min="16" max="16" width="4.1" customWidth="1"/>
    <col min="17" max="17" width="12.4" customWidth="1"/>
    <col min="18" max="18" width="13.1" customWidth="1"/>
  </cols>
  <sheetData>
    <row r="4" spans="2:2" x14ac:dyDescent="0.25">
      <c r="B4" s="8" t="s">
        <v>25</v>
      </c>
    </row>
    <row r="5" spans="2:2" x14ac:dyDescent="0.25">
      <c r="B5" s="5" t="s">
        <v>26</v>
      </c>
    </row>
    <row r="6" spans="2:2" x14ac:dyDescent="0.25">
      <c r="B6" t="s">
        <v>27</v>
      </c>
    </row>
    <row r="7" spans="2:2" x14ac:dyDescent="0.25">
      <c r="B7" s="9" t="s">
        <v>83</v>
      </c>
    </row>
    <row r="8" ht="18" customHeight="1" spans="2:18" x14ac:dyDescent="0.25">
      <c r="B8" s="10" t="s">
        <v>29</v>
      </c>
      <c r="C8" s="10" t="s">
        <v>30</v>
      </c>
      <c r="D8" s="10"/>
      <c r="E8" s="10"/>
      <c r="F8" s="10"/>
      <c r="G8" s="10" t="s">
        <v>31</v>
      </c>
      <c r="H8" s="10"/>
      <c r="I8" s="10"/>
      <c r="J8" s="10"/>
      <c r="K8" s="10"/>
      <c r="L8" s="10"/>
      <c r="M8" s="10"/>
      <c r="N8" s="10"/>
      <c r="O8" s="10" t="s">
        <v>32</v>
      </c>
      <c r="P8" s="10"/>
      <c r="Q8" s="10" t="s">
        <v>33</v>
      </c>
      <c r="R8" s="10" t="s">
        <v>34</v>
      </c>
    </row>
    <row r="9" ht="18" customHeight="1" spans="2:18" x14ac:dyDescent="0.25"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</row>
    <row r="10" spans="2:18" x14ac:dyDescent="0.25">
      <c r="B10" s="11" t="s">
        <v>35</v>
      </c>
      <c r="C10" s="11" t="s">
        <v>36</v>
      </c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2"/>
      <c r="P10" s="11"/>
      <c r="Q10" s="12"/>
      <c r="R10" s="12"/>
    </row>
    <row r="11" spans="2:18" x14ac:dyDescent="0.25">
      <c r="B11" s="13"/>
      <c r="C11" s="13" t="s">
        <v>37</v>
      </c>
      <c r="D11" s="13" t="s">
        <v>38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4"/>
      <c r="P11" s="13"/>
      <c r="Q11" s="14"/>
      <c r="R11" s="14"/>
    </row>
    <row r="12" spans="2:18" x14ac:dyDescent="0.25">
      <c r="B12" s="15"/>
      <c r="C12" s="15"/>
      <c r="D12" s="15" t="s">
        <v>39</v>
      </c>
      <c r="E12" s="16" t="s">
        <v>40</v>
      </c>
      <c r="F12" s="15"/>
      <c r="G12" s="15"/>
      <c r="H12" s="15"/>
      <c r="I12" s="15"/>
      <c r="J12" s="15"/>
      <c r="K12" s="15"/>
      <c r="L12" s="15"/>
      <c r="M12" s="15"/>
      <c r="N12" s="15"/>
      <c r="O12" s="7"/>
      <c r="P12" s="15"/>
      <c r="Q12" s="7"/>
      <c r="R12" s="7"/>
    </row>
    <row r="13" spans="2:18" x14ac:dyDescent="0.25">
      <c r="B13" s="15"/>
      <c r="C13" s="15"/>
      <c r="D13" s="15"/>
      <c r="E13" s="15"/>
      <c r="F13" s="15" t="s">
        <v>41</v>
      </c>
      <c r="G13" s="17">
        <v>1</v>
      </c>
      <c r="H13" s="17" t="s">
        <v>42</v>
      </c>
      <c r="I13" s="18" t="s">
        <v>43</v>
      </c>
      <c r="J13" s="17">
        <v>10</v>
      </c>
      <c r="K13" s="17" t="s">
        <v>44</v>
      </c>
      <c r="L13" s="18" t="s">
        <v>43</v>
      </c>
      <c r="M13" s="17">
        <v>1</v>
      </c>
      <c r="N13" s="17" t="s">
        <v>45</v>
      </c>
      <c r="O13" s="7">
        <v>10</v>
      </c>
      <c r="P13" s="15" t="s">
        <v>46</v>
      </c>
      <c r="Q13" s="7">
        <v>20000</v>
      </c>
      <c r="R13" s="7">
        <f>O13*Q13</f>
        <v>200000</v>
      </c>
    </row>
    <row r="14" spans="2:18" x14ac:dyDescent="0.25">
      <c r="B14" s="15"/>
      <c r="C14" s="15"/>
      <c r="D14" s="15"/>
      <c r="E14" s="15"/>
      <c r="F14" s="15" t="s">
        <v>47</v>
      </c>
      <c r="G14" s="17">
        <v>1</v>
      </c>
      <c r="H14" s="17" t="s">
        <v>42</v>
      </c>
      <c r="I14" s="18" t="s">
        <v>43</v>
      </c>
      <c r="J14" s="17">
        <v>8</v>
      </c>
      <c r="K14" s="17" t="s">
        <v>44</v>
      </c>
      <c r="L14" s="18" t="s">
        <v>43</v>
      </c>
      <c r="M14" s="17">
        <v>1</v>
      </c>
      <c r="N14" s="17" t="s">
        <v>45</v>
      </c>
      <c r="O14" s="7">
        <v>8</v>
      </c>
      <c r="P14" s="15" t="s">
        <v>46</v>
      </c>
      <c r="Q14" s="7">
        <v>25000</v>
      </c>
      <c r="R14" s="7">
        <f>O14*Q14</f>
        <v>200000</v>
      </c>
    </row>
    <row r="15" spans="2:18" x14ac:dyDescent="0.25">
      <c r="B15" s="13"/>
      <c r="C15" s="13"/>
      <c r="D15" s="13"/>
      <c r="E15" s="13"/>
      <c r="F15" s="19" t="s">
        <v>48</v>
      </c>
      <c r="G15" s="13"/>
      <c r="H15" s="13"/>
      <c r="I15" s="13"/>
      <c r="J15" s="13"/>
      <c r="K15" s="13"/>
      <c r="L15" s="13"/>
      <c r="M15" s="13"/>
      <c r="N15" s="13"/>
      <c r="O15" s="14"/>
      <c r="P15" s="13"/>
      <c r="Q15" s="14"/>
      <c r="R15" s="14">
        <f>SUM(R13:R14)</f>
      </c>
    </row>
    <row r="16" spans="2:18" x14ac:dyDescent="0.25">
      <c r="B16" s="15"/>
      <c r="C16" s="15"/>
      <c r="D16" s="15" t="s">
        <v>49</v>
      </c>
      <c r="E16" s="16" t="s">
        <v>50</v>
      </c>
      <c r="F16" s="15"/>
      <c r="G16" s="15"/>
      <c r="H16" s="15"/>
      <c r="I16" s="15"/>
      <c r="J16" s="15"/>
      <c r="K16" s="15"/>
      <c r="L16" s="15"/>
      <c r="M16" s="15"/>
      <c r="N16" s="15"/>
      <c r="O16" s="7"/>
      <c r="P16" s="15"/>
      <c r="Q16" s="7"/>
      <c r="R16" s="7"/>
    </row>
    <row r="17" spans="2:18" x14ac:dyDescent="0.25">
      <c r="B17" s="15"/>
      <c r="C17" s="15"/>
      <c r="D17" s="15"/>
      <c r="E17" s="15"/>
      <c r="F17" s="15" t="s">
        <v>51</v>
      </c>
      <c r="G17" s="17">
        <v>1</v>
      </c>
      <c r="H17" s="17" t="s">
        <v>42</v>
      </c>
      <c r="I17" s="18" t="s">
        <v>43</v>
      </c>
      <c r="J17" s="17">
        <v>2</v>
      </c>
      <c r="K17" s="17" t="s">
        <v>44</v>
      </c>
      <c r="L17" s="18" t="s">
        <v>43</v>
      </c>
      <c r="M17" s="17">
        <v>1</v>
      </c>
      <c r="N17" s="17" t="s">
        <v>45</v>
      </c>
      <c r="O17" s="7">
        <v>2</v>
      </c>
      <c r="P17" s="15" t="s">
        <v>46</v>
      </c>
      <c r="Q17" s="7">
        <v>30000</v>
      </c>
      <c r="R17" s="7">
        <f>O17*Q17</f>
        <v>60000</v>
      </c>
    </row>
    <row r="18" spans="2:18" x14ac:dyDescent="0.25">
      <c r="B18" s="15"/>
      <c r="C18" s="15"/>
      <c r="D18" s="15"/>
      <c r="E18" s="15"/>
      <c r="F18" s="15" t="s">
        <v>52</v>
      </c>
      <c r="G18" s="17">
        <v>1</v>
      </c>
      <c r="H18" s="17" t="s">
        <v>42</v>
      </c>
      <c r="I18" s="18" t="s">
        <v>43</v>
      </c>
      <c r="J18" s="17">
        <v>2</v>
      </c>
      <c r="K18" s="17" t="s">
        <v>44</v>
      </c>
      <c r="L18" s="18" t="s">
        <v>43</v>
      </c>
      <c r="M18" s="17">
        <v>1</v>
      </c>
      <c r="N18" s="17" t="s">
        <v>45</v>
      </c>
      <c r="O18" s="7">
        <v>2</v>
      </c>
      <c r="P18" s="15" t="s">
        <v>46</v>
      </c>
      <c r="Q18" s="7">
        <v>25000</v>
      </c>
      <c r="R18" s="7">
        <f>O18*Q18</f>
        <v>50000</v>
      </c>
    </row>
    <row r="19" spans="2:18" x14ac:dyDescent="0.25">
      <c r="B19" s="13"/>
      <c r="C19" s="13"/>
      <c r="D19" s="13"/>
      <c r="E19" s="13"/>
      <c r="F19" s="19" t="s">
        <v>48</v>
      </c>
      <c r="G19" s="13"/>
      <c r="H19" s="13"/>
      <c r="I19" s="13"/>
      <c r="J19" s="13"/>
      <c r="K19" s="13"/>
      <c r="L19" s="13"/>
      <c r="M19" s="13"/>
      <c r="N19" s="13"/>
      <c r="O19" s="14"/>
      <c r="P19" s="13"/>
      <c r="Q19" s="14"/>
      <c r="R19" s="14">
        <f>SUM(R17:R18)</f>
      </c>
    </row>
    <row r="20" spans="2:18" x14ac:dyDescent="0.25">
      <c r="B20" s="13"/>
      <c r="C20" s="13"/>
      <c r="D20" s="13"/>
      <c r="E20" s="13"/>
      <c r="F20" s="19" t="s">
        <v>53</v>
      </c>
      <c r="G20" s="13"/>
      <c r="H20" s="13"/>
      <c r="I20" s="13"/>
      <c r="J20" s="13"/>
      <c r="K20" s="13"/>
      <c r="L20" s="13"/>
      <c r="M20" s="13"/>
      <c r="N20" s="13"/>
      <c r="O20" s="14"/>
      <c r="P20" s="13"/>
      <c r="Q20" s="14"/>
      <c r="R20" s="14">
        <f>R15+R19</f>
      </c>
    </row>
    <row r="21" spans="2:18" x14ac:dyDescent="0.25">
      <c r="B21" s="13"/>
      <c r="C21" s="13" t="s">
        <v>54</v>
      </c>
      <c r="D21" s="13" t="s">
        <v>55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4"/>
      <c r="P21" s="13"/>
      <c r="Q21" s="14"/>
      <c r="R21" s="14"/>
    </row>
    <row r="22" spans="2:18" x14ac:dyDescent="0.25">
      <c r="B22" s="15"/>
      <c r="C22" s="15"/>
      <c r="D22" s="15" t="s">
        <v>39</v>
      </c>
      <c r="E22" s="16" t="s">
        <v>56</v>
      </c>
      <c r="F22" s="15"/>
      <c r="G22" s="15"/>
      <c r="H22" s="15"/>
      <c r="I22" s="15"/>
      <c r="J22" s="15"/>
      <c r="K22" s="15"/>
      <c r="L22" s="15"/>
      <c r="M22" s="15"/>
      <c r="N22" s="15"/>
      <c r="O22" s="7"/>
      <c r="P22" s="15"/>
      <c r="Q22" s="7"/>
      <c r="R22" s="7"/>
    </row>
    <row r="23" spans="2:18" x14ac:dyDescent="0.25">
      <c r="B23" s="15"/>
      <c r="C23" s="15"/>
      <c r="D23" s="15"/>
      <c r="E23" s="15"/>
      <c r="F23" s="15" t="s">
        <v>57</v>
      </c>
      <c r="G23" s="17">
        <v>1</v>
      </c>
      <c r="H23" s="17" t="s">
        <v>42</v>
      </c>
      <c r="I23" s="18" t="s">
        <v>43</v>
      </c>
      <c r="J23" s="17">
        <v>20</v>
      </c>
      <c r="K23" s="17" t="s">
        <v>44</v>
      </c>
      <c r="L23" s="18" t="s">
        <v>43</v>
      </c>
      <c r="M23" s="17">
        <v>1</v>
      </c>
      <c r="N23" s="17" t="s">
        <v>45</v>
      </c>
      <c r="O23" s="7">
        <v>20</v>
      </c>
      <c r="P23" s="15" t="s">
        <v>46</v>
      </c>
      <c r="Q23" s="7">
        <v>80000</v>
      </c>
      <c r="R23" s="7">
        <f>O23*Q23</f>
        <v>1600000</v>
      </c>
    </row>
    <row r="24" spans="2:18" x14ac:dyDescent="0.25">
      <c r="B24" s="13"/>
      <c r="C24" s="13"/>
      <c r="D24" s="13"/>
      <c r="E24" s="13"/>
      <c r="F24" s="19" t="s">
        <v>48</v>
      </c>
      <c r="G24" s="13"/>
      <c r="H24" s="13"/>
      <c r="I24" s="13"/>
      <c r="J24" s="13"/>
      <c r="K24" s="13"/>
      <c r="L24" s="13"/>
      <c r="M24" s="13"/>
      <c r="N24" s="13"/>
      <c r="O24" s="14"/>
      <c r="P24" s="13"/>
      <c r="Q24" s="14"/>
      <c r="R24" s="14">
        <f>R23</f>
      </c>
    </row>
    <row r="25" spans="2:18" x14ac:dyDescent="0.25">
      <c r="B25" s="13"/>
      <c r="C25" s="13"/>
      <c r="D25" s="13"/>
      <c r="E25" s="13"/>
      <c r="F25" s="19" t="s">
        <v>58</v>
      </c>
      <c r="G25" s="13"/>
      <c r="H25" s="13"/>
      <c r="I25" s="13"/>
      <c r="J25" s="13"/>
      <c r="K25" s="13"/>
      <c r="L25" s="13"/>
      <c r="M25" s="13"/>
      <c r="N25" s="13"/>
      <c r="O25" s="14"/>
      <c r="P25" s="13"/>
      <c r="Q25" s="14"/>
      <c r="R25" s="14">
        <f>R24</f>
      </c>
    </row>
    <row r="26" spans="2:18" x14ac:dyDescent="0.25">
      <c r="B26" s="11"/>
      <c r="C26" s="11"/>
      <c r="D26" s="11"/>
      <c r="E26" s="11"/>
      <c r="F26" s="20" t="s">
        <v>59</v>
      </c>
      <c r="G26" s="11"/>
      <c r="H26" s="11"/>
      <c r="I26" s="11"/>
      <c r="J26" s="11"/>
      <c r="K26" s="11"/>
      <c r="L26" s="11"/>
      <c r="M26" s="11"/>
      <c r="N26" s="11"/>
      <c r="O26" s="12"/>
      <c r="P26" s="11"/>
      <c r="Q26" s="12"/>
      <c r="R26" s="12">
        <f>R20+R25</f>
      </c>
    </row>
    <row r="27" spans="2:18" x14ac:dyDescent="0.25">
      <c r="B27" s="11" t="s">
        <v>60</v>
      </c>
      <c r="C27" s="11" t="s">
        <v>61</v>
      </c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2"/>
      <c r="P27" s="11"/>
      <c r="Q27" s="12"/>
      <c r="R27" s="12"/>
    </row>
    <row r="28" spans="2:18" x14ac:dyDescent="0.25">
      <c r="B28" s="13"/>
      <c r="C28" s="13" t="s">
        <v>37</v>
      </c>
      <c r="D28" s="13" t="s">
        <v>62</v>
      </c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4"/>
      <c r="P28" s="13"/>
      <c r="Q28" s="14"/>
      <c r="R28" s="14"/>
    </row>
    <row r="29" spans="2:18" x14ac:dyDescent="0.25">
      <c r="B29" s="15"/>
      <c r="C29" s="15"/>
      <c r="D29" s="15"/>
      <c r="E29" s="15"/>
      <c r="F29" s="15" t="s">
        <v>63</v>
      </c>
      <c r="G29" s="17">
        <v>28</v>
      </c>
      <c r="H29" s="17" t="s">
        <v>64</v>
      </c>
      <c r="I29" s="18" t="s">
        <v>43</v>
      </c>
      <c r="J29" s="17">
        <v>3</v>
      </c>
      <c r="K29" s="17" t="s">
        <v>65</v>
      </c>
      <c r="L29" s="18" t="s">
        <v>43</v>
      </c>
      <c r="M29" s="17">
        <v>1</v>
      </c>
      <c r="N29" s="17" t="s">
        <v>45</v>
      </c>
      <c r="O29" s="7">
        <v>84</v>
      </c>
      <c r="P29" s="15" t="s">
        <v>66</v>
      </c>
      <c r="Q29" s="7">
        <v>20000</v>
      </c>
      <c r="R29" s="7">
        <f>O29*Q29</f>
        <v>1680000</v>
      </c>
    </row>
    <row r="30" spans="2:18" x14ac:dyDescent="0.25">
      <c r="B30" s="13"/>
      <c r="C30" s="13"/>
      <c r="D30" s="13"/>
      <c r="E30" s="13"/>
      <c r="F30" s="19" t="s">
        <v>48</v>
      </c>
      <c r="G30" s="13"/>
      <c r="H30" s="13"/>
      <c r="I30" s="13"/>
      <c r="J30" s="13"/>
      <c r="K30" s="13"/>
      <c r="L30" s="13"/>
      <c r="M30" s="13"/>
      <c r="N30" s="13"/>
      <c r="O30" s="14"/>
      <c r="P30" s="13"/>
      <c r="Q30" s="14"/>
      <c r="R30" s="14">
        <f>R29</f>
      </c>
    </row>
    <row r="31" spans="2:18" x14ac:dyDescent="0.25">
      <c r="B31" s="13"/>
      <c r="C31" s="13"/>
      <c r="D31" s="13"/>
      <c r="E31" s="13"/>
      <c r="F31" s="19" t="s">
        <v>53</v>
      </c>
      <c r="G31" s="13"/>
      <c r="H31" s="13"/>
      <c r="I31" s="13"/>
      <c r="J31" s="13"/>
      <c r="K31" s="13"/>
      <c r="L31" s="13"/>
      <c r="M31" s="13"/>
      <c r="N31" s="13"/>
      <c r="O31" s="14"/>
      <c r="P31" s="13"/>
      <c r="Q31" s="14"/>
      <c r="R31" s="14">
        <f>R30</f>
      </c>
    </row>
    <row r="32" spans="2:18" x14ac:dyDescent="0.25">
      <c r="B32" s="13"/>
      <c r="C32" s="13" t="s">
        <v>54</v>
      </c>
      <c r="D32" s="13" t="s">
        <v>67</v>
      </c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4"/>
      <c r="P32" s="13"/>
      <c r="Q32" s="14"/>
      <c r="R32" s="14"/>
    </row>
    <row r="33" spans="2:18" x14ac:dyDescent="0.25">
      <c r="B33" s="15"/>
      <c r="C33" s="15"/>
      <c r="D33" s="15"/>
      <c r="E33" s="15"/>
      <c r="F33" s="15" t="s">
        <v>68</v>
      </c>
      <c r="G33" s="17">
        <v>1</v>
      </c>
      <c r="H33" s="17" t="s">
        <v>42</v>
      </c>
      <c r="I33" s="18" t="s">
        <v>43</v>
      </c>
      <c r="J33" s="17">
        <v>1</v>
      </c>
      <c r="K33" s="17" t="s">
        <v>64</v>
      </c>
      <c r="L33" s="18" t="s">
        <v>43</v>
      </c>
      <c r="M33" s="17">
        <v>1</v>
      </c>
      <c r="N33" s="17" t="s">
        <v>45</v>
      </c>
      <c r="O33" s="7">
        <v>1</v>
      </c>
      <c r="P33" s="15" t="s">
        <v>66</v>
      </c>
      <c r="Q33" s="7">
        <v>350000</v>
      </c>
      <c r="R33" s="7">
        <f>O33*Q33</f>
        <v>350000</v>
      </c>
    </row>
    <row r="34" spans="2:18" x14ac:dyDescent="0.25">
      <c r="B34" s="13"/>
      <c r="C34" s="13"/>
      <c r="D34" s="13"/>
      <c r="E34" s="13"/>
      <c r="F34" s="19" t="s">
        <v>48</v>
      </c>
      <c r="G34" s="13"/>
      <c r="H34" s="13"/>
      <c r="I34" s="13"/>
      <c r="J34" s="13"/>
      <c r="K34" s="13"/>
      <c r="L34" s="13"/>
      <c r="M34" s="13"/>
      <c r="N34" s="13"/>
      <c r="O34" s="14"/>
      <c r="P34" s="13"/>
      <c r="Q34" s="14"/>
      <c r="R34" s="14">
        <f>R33</f>
      </c>
    </row>
    <row r="35" spans="2:18" x14ac:dyDescent="0.25">
      <c r="B35" s="13"/>
      <c r="C35" s="13"/>
      <c r="D35" s="13"/>
      <c r="E35" s="13"/>
      <c r="F35" s="19" t="s">
        <v>58</v>
      </c>
      <c r="G35" s="13"/>
      <c r="H35" s="13"/>
      <c r="I35" s="13"/>
      <c r="J35" s="13"/>
      <c r="K35" s="13"/>
      <c r="L35" s="13"/>
      <c r="M35" s="13"/>
      <c r="N35" s="13"/>
      <c r="O35" s="14"/>
      <c r="P35" s="13"/>
      <c r="Q35" s="14"/>
      <c r="R35" s="14">
        <f>R34</f>
      </c>
    </row>
    <row r="36" spans="2:18" x14ac:dyDescent="0.25">
      <c r="B36" s="11"/>
      <c r="C36" s="11"/>
      <c r="D36" s="11"/>
      <c r="E36" s="11"/>
      <c r="F36" s="20" t="s">
        <v>69</v>
      </c>
      <c r="G36" s="11"/>
      <c r="H36" s="11"/>
      <c r="I36" s="11"/>
      <c r="J36" s="11"/>
      <c r="K36" s="11"/>
      <c r="L36" s="11"/>
      <c r="M36" s="11"/>
      <c r="N36" s="11"/>
      <c r="O36" s="12"/>
      <c r="P36" s="11"/>
      <c r="Q36" s="12"/>
      <c r="R36" s="12">
        <f>R31+R35</f>
      </c>
    </row>
    <row r="37" spans="2:18" x14ac:dyDescent="0.25">
      <c r="B37" s="11" t="s">
        <v>70</v>
      </c>
      <c r="C37" s="11" t="s">
        <v>71</v>
      </c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2"/>
      <c r="P37" s="11"/>
      <c r="Q37" s="12"/>
      <c r="R37" s="12"/>
    </row>
    <row r="38" spans="2:18" x14ac:dyDescent="0.25">
      <c r="B38" s="13"/>
      <c r="C38" s="13" t="s">
        <v>37</v>
      </c>
      <c r="D38" s="13" t="s">
        <v>72</v>
      </c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4"/>
      <c r="P38" s="13"/>
      <c r="Q38" s="14"/>
      <c r="R38" s="14"/>
    </row>
    <row r="39" spans="2:18" x14ac:dyDescent="0.25">
      <c r="B39" s="15"/>
      <c r="C39" s="15"/>
      <c r="D39" s="15" t="s">
        <v>39</v>
      </c>
      <c r="E39" s="16" t="s">
        <v>73</v>
      </c>
      <c r="F39" s="15"/>
      <c r="G39" s="15"/>
      <c r="H39" s="15"/>
      <c r="I39" s="15"/>
      <c r="J39" s="15"/>
      <c r="K39" s="15"/>
      <c r="L39" s="15"/>
      <c r="M39" s="15"/>
      <c r="N39" s="15"/>
      <c r="O39" s="7"/>
      <c r="P39" s="15"/>
      <c r="Q39" s="7"/>
      <c r="R39" s="7"/>
    </row>
    <row r="40" spans="2:18" x14ac:dyDescent="0.25">
      <c r="B40" s="21"/>
      <c r="C40" s="21"/>
      <c r="D40" s="21"/>
      <c r="E40" s="21"/>
      <c r="F40" s="22" t="s">
        <v>78</v>
      </c>
      <c r="G40" s="21"/>
      <c r="H40" s="21"/>
      <c r="I40" s="21"/>
      <c r="J40" s="21"/>
      <c r="K40" s="21"/>
      <c r="L40" s="21"/>
      <c r="M40" s="21"/>
      <c r="N40" s="21"/>
      <c r="O40" s="23"/>
      <c r="P40" s="21"/>
      <c r="Q40" s="23"/>
      <c r="R40" s="23">
        <f>R26+R36</f>
      </c>
    </row>
    <row r="42" spans="12:12" x14ac:dyDescent="0.25">
      <c r="L42" t="s">
        <v>79</v>
      </c>
    </row>
    <row r="44" spans="6:12" x14ac:dyDescent="0.25">
      <c r="F44" t="s">
        <v>80</v>
      </c>
      <c r="L44" t="s">
        <v>80</v>
      </c>
    </row>
    <row r="48" spans="6:12" x14ac:dyDescent="0.25">
      <c r="F48" t="s">
        <v>81</v>
      </c>
      <c r="L48" t="s">
        <v>82</v>
      </c>
    </row>
  </sheetData>
  <mergeCells count="6">
    <mergeCell ref="C8:F9"/>
    <mergeCell ref="G8:N9"/>
    <mergeCell ref="O8:P9"/>
    <mergeCell ref="B8:B9"/>
    <mergeCell ref="Q8:Q9"/>
    <mergeCell ref="R8:R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R35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1.7" customWidth="1"/>
    <col min="2" max="2" width="4.4" customWidth="1"/>
    <col min="3" max="4" width="2.7" customWidth="1"/>
    <col min="5" max="5" width="3.4" customWidth="1"/>
    <col min="6" max="6" width="39" customWidth="1"/>
    <col min="7" max="7" width="5.9" customWidth="1"/>
    <col min="8" max="8" width="4.7" customWidth="1"/>
    <col min="9" max="9" width="2.4" customWidth="1"/>
    <col min="10" max="10" width="4.3" customWidth="1"/>
    <col min="11" max="11" width="5.1" customWidth="1"/>
    <col min="12" max="12" width="3" customWidth="1"/>
    <col min="13" max="13" width="4" customWidth="1"/>
    <col min="14" max="14" width="4.7" customWidth="1"/>
    <col min="15" max="15" width="8.4" customWidth="1"/>
    <col min="16" max="16" width="4.1" customWidth="1"/>
    <col min="17" max="17" width="12.4" customWidth="1"/>
    <col min="18" max="18" width="13.1" customWidth="1"/>
  </cols>
  <sheetData>
    <row r="4" spans="2:2" x14ac:dyDescent="0.25">
      <c r="B4" s="8" t="s">
        <v>25</v>
      </c>
    </row>
    <row r="5" spans="2:2" x14ac:dyDescent="0.25">
      <c r="B5" s="5" t="s">
        <v>26</v>
      </c>
    </row>
    <row r="6" spans="2:2" x14ac:dyDescent="0.25">
      <c r="B6" t="s">
        <v>27</v>
      </c>
    </row>
    <row r="7" spans="2:2" x14ac:dyDescent="0.25">
      <c r="B7" s="9" t="s">
        <v>84</v>
      </c>
    </row>
    <row r="8" ht="18" customHeight="1" spans="2:18" x14ac:dyDescent="0.25">
      <c r="B8" s="10" t="s">
        <v>29</v>
      </c>
      <c r="C8" s="10" t="s">
        <v>30</v>
      </c>
      <c r="D8" s="10"/>
      <c r="E8" s="10"/>
      <c r="F8" s="10"/>
      <c r="G8" s="10" t="s">
        <v>31</v>
      </c>
      <c r="H8" s="10"/>
      <c r="I8" s="10"/>
      <c r="J8" s="10"/>
      <c r="K8" s="10"/>
      <c r="L8" s="10"/>
      <c r="M8" s="10"/>
      <c r="N8" s="10"/>
      <c r="O8" s="10" t="s">
        <v>32</v>
      </c>
      <c r="P8" s="10"/>
      <c r="Q8" s="10" t="s">
        <v>33</v>
      </c>
      <c r="R8" s="10" t="s">
        <v>34</v>
      </c>
    </row>
    <row r="9" ht="18" customHeight="1" spans="2:18" x14ac:dyDescent="0.25"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</row>
    <row r="10" spans="2:18" x14ac:dyDescent="0.25">
      <c r="B10" s="11" t="s">
        <v>35</v>
      </c>
      <c r="C10" s="11" t="s">
        <v>36</v>
      </c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2"/>
      <c r="P10" s="11"/>
      <c r="Q10" s="12"/>
      <c r="R10" s="12"/>
    </row>
    <row r="11" spans="2:18" x14ac:dyDescent="0.25">
      <c r="B11" s="13"/>
      <c r="C11" s="13" t="s">
        <v>37</v>
      </c>
      <c r="D11" s="13" t="s">
        <v>38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4"/>
      <c r="P11" s="13"/>
      <c r="Q11" s="14"/>
      <c r="R11" s="14"/>
    </row>
    <row r="12" spans="2:18" x14ac:dyDescent="0.25">
      <c r="B12" s="15"/>
      <c r="C12" s="15"/>
      <c r="D12" s="15" t="s">
        <v>39</v>
      </c>
      <c r="E12" s="16" t="s">
        <v>40</v>
      </c>
      <c r="F12" s="15"/>
      <c r="G12" s="15"/>
      <c r="H12" s="15"/>
      <c r="I12" s="15"/>
      <c r="J12" s="15"/>
      <c r="K12" s="15"/>
      <c r="L12" s="15"/>
      <c r="M12" s="15"/>
      <c r="N12" s="15"/>
      <c r="O12" s="7"/>
      <c r="P12" s="15"/>
      <c r="Q12" s="7"/>
      <c r="R12" s="7"/>
    </row>
    <row r="13" spans="2:18" x14ac:dyDescent="0.25">
      <c r="B13" s="15"/>
      <c r="C13" s="15"/>
      <c r="D13" s="15" t="s">
        <v>49</v>
      </c>
      <c r="E13" s="16" t="s">
        <v>50</v>
      </c>
      <c r="F13" s="15"/>
      <c r="G13" s="15"/>
      <c r="H13" s="15"/>
      <c r="I13" s="15"/>
      <c r="J13" s="15"/>
      <c r="K13" s="15"/>
      <c r="L13" s="15"/>
      <c r="M13" s="15"/>
      <c r="N13" s="15"/>
      <c r="O13" s="7"/>
      <c r="P13" s="15"/>
      <c r="Q13" s="7"/>
      <c r="R13" s="7"/>
    </row>
    <row r="14" spans="2:18" x14ac:dyDescent="0.25">
      <c r="B14" s="13"/>
      <c r="C14" s="13" t="s">
        <v>54</v>
      </c>
      <c r="D14" s="13" t="s">
        <v>55</v>
      </c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4"/>
      <c r="P14" s="13"/>
      <c r="Q14" s="14"/>
      <c r="R14" s="14"/>
    </row>
    <row r="15" spans="2:18" x14ac:dyDescent="0.25">
      <c r="B15" s="15"/>
      <c r="C15" s="15"/>
      <c r="D15" s="15" t="s">
        <v>39</v>
      </c>
      <c r="E15" s="16" t="s">
        <v>56</v>
      </c>
      <c r="F15" s="15"/>
      <c r="G15" s="15"/>
      <c r="H15" s="15"/>
      <c r="I15" s="15"/>
      <c r="J15" s="15"/>
      <c r="K15" s="15"/>
      <c r="L15" s="15"/>
      <c r="M15" s="15"/>
      <c r="N15" s="15"/>
      <c r="O15" s="7"/>
      <c r="P15" s="15"/>
      <c r="Q15" s="7"/>
      <c r="R15" s="7"/>
    </row>
    <row r="16" spans="2:18" x14ac:dyDescent="0.25">
      <c r="B16" s="11" t="s">
        <v>60</v>
      </c>
      <c r="C16" s="11" t="s">
        <v>61</v>
      </c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2"/>
      <c r="P16" s="11"/>
      <c r="Q16" s="12"/>
      <c r="R16" s="12"/>
    </row>
    <row r="17" spans="2:18" x14ac:dyDescent="0.25">
      <c r="B17" s="13"/>
      <c r="C17" s="13" t="s">
        <v>37</v>
      </c>
      <c r="D17" s="13" t="s">
        <v>62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4"/>
      <c r="P17" s="13"/>
      <c r="Q17" s="14"/>
      <c r="R17" s="14"/>
    </row>
    <row r="18" spans="2:18" x14ac:dyDescent="0.25">
      <c r="B18" s="13"/>
      <c r="C18" s="13" t="s">
        <v>54</v>
      </c>
      <c r="D18" s="13" t="s">
        <v>67</v>
      </c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4"/>
      <c r="P18" s="13"/>
      <c r="Q18" s="14"/>
      <c r="R18" s="14"/>
    </row>
    <row r="19" spans="2:18" x14ac:dyDescent="0.25">
      <c r="B19" s="11" t="s">
        <v>70</v>
      </c>
      <c r="C19" s="11" t="s">
        <v>71</v>
      </c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2"/>
      <c r="P19" s="11"/>
      <c r="Q19" s="12"/>
      <c r="R19" s="12"/>
    </row>
    <row r="20" spans="2:18" x14ac:dyDescent="0.25">
      <c r="B20" s="13"/>
      <c r="C20" s="13" t="s">
        <v>37</v>
      </c>
      <c r="D20" s="13" t="s">
        <v>72</v>
      </c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4"/>
      <c r="P20" s="13"/>
      <c r="Q20" s="14"/>
      <c r="R20" s="14"/>
    </row>
    <row r="21" spans="2:18" x14ac:dyDescent="0.25">
      <c r="B21" s="15"/>
      <c r="C21" s="15"/>
      <c r="D21" s="15" t="s">
        <v>39</v>
      </c>
      <c r="E21" s="16" t="s">
        <v>73</v>
      </c>
      <c r="F21" s="15"/>
      <c r="G21" s="15"/>
      <c r="H21" s="15"/>
      <c r="I21" s="15"/>
      <c r="J21" s="15"/>
      <c r="K21" s="15"/>
      <c r="L21" s="15"/>
      <c r="M21" s="15"/>
      <c r="N21" s="15"/>
      <c r="O21" s="7"/>
      <c r="P21" s="15"/>
      <c r="Q21" s="7"/>
      <c r="R21" s="7"/>
    </row>
    <row r="22" spans="2:18" x14ac:dyDescent="0.25">
      <c r="B22" s="15"/>
      <c r="C22" s="15"/>
      <c r="D22" s="15"/>
      <c r="E22" s="15"/>
      <c r="F22" s="15" t="s">
        <v>74</v>
      </c>
      <c r="G22" s="17">
        <v>1</v>
      </c>
      <c r="H22" s="17" t="s">
        <v>42</v>
      </c>
      <c r="I22" s="18" t="s">
        <v>43</v>
      </c>
      <c r="J22" s="17">
        <v>50</v>
      </c>
      <c r="K22" s="17" t="s">
        <v>75</v>
      </c>
      <c r="L22" s="18" t="s">
        <v>43</v>
      </c>
      <c r="M22" s="17">
        <v>1</v>
      </c>
      <c r="N22" s="17" t="s">
        <v>45</v>
      </c>
      <c r="O22" s="7">
        <v>50</v>
      </c>
      <c r="P22" s="15" t="s">
        <v>46</v>
      </c>
      <c r="Q22" s="7">
        <v>20000</v>
      </c>
      <c r="R22" s="7">
        <f>O22*Q22</f>
        <v>1000000</v>
      </c>
    </row>
    <row r="23" spans="2:18" x14ac:dyDescent="0.25">
      <c r="B23" s="15"/>
      <c r="C23" s="15"/>
      <c r="D23" s="15"/>
      <c r="E23" s="15"/>
      <c r="F23" s="15" t="s">
        <v>76</v>
      </c>
      <c r="G23" s="17">
        <v>1</v>
      </c>
      <c r="H23" s="17" t="s">
        <v>42</v>
      </c>
      <c r="I23" s="18" t="s">
        <v>43</v>
      </c>
      <c r="J23" s="17">
        <v>30</v>
      </c>
      <c r="K23" s="17" t="s">
        <v>64</v>
      </c>
      <c r="L23" s="18" t="s">
        <v>43</v>
      </c>
      <c r="M23" s="17">
        <v>1</v>
      </c>
      <c r="N23" s="17" t="s">
        <v>45</v>
      </c>
      <c r="O23" s="7">
        <v>30</v>
      </c>
      <c r="P23" s="15" t="s">
        <v>46</v>
      </c>
      <c r="Q23" s="7">
        <v>25000</v>
      </c>
      <c r="R23" s="7">
        <f>O23*Q23</f>
        <v>750000</v>
      </c>
    </row>
    <row r="24" spans="2:18" x14ac:dyDescent="0.25">
      <c r="B24" s="13"/>
      <c r="C24" s="13"/>
      <c r="D24" s="13"/>
      <c r="E24" s="13"/>
      <c r="F24" s="19" t="s">
        <v>48</v>
      </c>
      <c r="G24" s="13"/>
      <c r="H24" s="13"/>
      <c r="I24" s="13"/>
      <c r="J24" s="13"/>
      <c r="K24" s="13"/>
      <c r="L24" s="13"/>
      <c r="M24" s="13"/>
      <c r="N24" s="13"/>
      <c r="O24" s="14"/>
      <c r="P24" s="13"/>
      <c r="Q24" s="14"/>
      <c r="R24" s="14">
        <f>SUM(R22:R23)</f>
      </c>
    </row>
    <row r="25" spans="2:18" x14ac:dyDescent="0.25">
      <c r="B25" s="13"/>
      <c r="C25" s="13"/>
      <c r="D25" s="13"/>
      <c r="E25" s="13"/>
      <c r="F25" s="19" t="s">
        <v>53</v>
      </c>
      <c r="G25" s="13"/>
      <c r="H25" s="13"/>
      <c r="I25" s="13"/>
      <c r="J25" s="13"/>
      <c r="K25" s="13"/>
      <c r="L25" s="13"/>
      <c r="M25" s="13"/>
      <c r="N25" s="13"/>
      <c r="O25" s="14"/>
      <c r="P25" s="13"/>
      <c r="Q25" s="14"/>
      <c r="R25" s="14">
        <f>R24</f>
      </c>
    </row>
    <row r="26" spans="2:18" x14ac:dyDescent="0.25">
      <c r="B26" s="11"/>
      <c r="C26" s="11"/>
      <c r="D26" s="11"/>
      <c r="E26" s="11"/>
      <c r="F26" s="20" t="s">
        <v>77</v>
      </c>
      <c r="G26" s="11"/>
      <c r="H26" s="11"/>
      <c r="I26" s="11"/>
      <c r="J26" s="11"/>
      <c r="K26" s="11"/>
      <c r="L26" s="11"/>
      <c r="M26" s="11"/>
      <c r="N26" s="11"/>
      <c r="O26" s="12"/>
      <c r="P26" s="11"/>
      <c r="Q26" s="12"/>
      <c r="R26" s="12">
        <f>R25</f>
      </c>
    </row>
    <row r="27" spans="2:18" x14ac:dyDescent="0.25">
      <c r="B27" s="21"/>
      <c r="C27" s="21"/>
      <c r="D27" s="21"/>
      <c r="E27" s="21"/>
      <c r="F27" s="22" t="s">
        <v>78</v>
      </c>
      <c r="G27" s="21"/>
      <c r="H27" s="21"/>
      <c r="I27" s="21"/>
      <c r="J27" s="21"/>
      <c r="K27" s="21"/>
      <c r="L27" s="21"/>
      <c r="M27" s="21"/>
      <c r="N27" s="21"/>
      <c r="O27" s="23"/>
      <c r="P27" s="21"/>
      <c r="Q27" s="23"/>
      <c r="R27" s="23">
        <f>R26</f>
      </c>
    </row>
    <row r="29" spans="12:12" x14ac:dyDescent="0.25">
      <c r="L29" t="s">
        <v>79</v>
      </c>
    </row>
    <row r="31" spans="6:12" x14ac:dyDescent="0.25">
      <c r="F31" t="s">
        <v>80</v>
      </c>
      <c r="L31" t="s">
        <v>80</v>
      </c>
    </row>
    <row r="35" spans="6:12" x14ac:dyDescent="0.25">
      <c r="F35" t="s">
        <v>81</v>
      </c>
      <c r="L35" t="s">
        <v>82</v>
      </c>
    </row>
  </sheetData>
  <mergeCells count="6">
    <mergeCell ref="C8:F9"/>
    <mergeCell ref="G8:N9"/>
    <mergeCell ref="O8:P9"/>
    <mergeCell ref="B8:B9"/>
    <mergeCell ref="Q8:Q9"/>
    <mergeCell ref="R8:R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Petunjuk</vt:lpstr>
      <vt:lpstr>RAB 100%</vt:lpstr>
      <vt:lpstr>RAB 70%</vt:lpstr>
      <vt:lpstr>RAB 30%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MonevDEB</dc:creator>
  <dc:title/>
  <dc:subject/>
  <dc:description/>
  <cp:keywords/>
  <cp:category/>
  <cp:lastModifiedBy>Unknown</cp:lastModifiedBy>
  <dcterms:created xsi:type="dcterms:W3CDTF">2026-09-19T10:06:16Z</dcterms:created>
  <dcterms:modified xsi:type="dcterms:W3CDTF">2026-09-19T10:06:16Z</dcterms:modified>
</cp:coreProperties>
</file>